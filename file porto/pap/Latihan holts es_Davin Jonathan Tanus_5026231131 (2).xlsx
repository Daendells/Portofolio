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icle\Downloads\"/>
    </mc:Choice>
  </mc:AlternateContent>
  <xr:revisionPtr revIDLastSave="0" documentId="13_ncr:1_{B7F374A7-DF8C-4F75-88E8-60049AC13DB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S M" sheetId="1" r:id="rId1"/>
    <sheet name="TES 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2" l="1"/>
  <c r="G45" i="2"/>
  <c r="G46" i="2"/>
  <c r="G47" i="2"/>
  <c r="G48" i="2"/>
  <c r="G49" i="2"/>
  <c r="G50" i="2"/>
  <c r="G51" i="2"/>
  <c r="G52" i="2"/>
  <c r="G53" i="2"/>
  <c r="G54" i="2"/>
  <c r="G43" i="2"/>
  <c r="G44" i="1"/>
  <c r="G45" i="1"/>
  <c r="G46" i="1"/>
  <c r="G47" i="1"/>
  <c r="G48" i="1"/>
  <c r="G49" i="1"/>
  <c r="G50" i="1"/>
  <c r="G51" i="1"/>
  <c r="G52" i="1"/>
  <c r="G53" i="1"/>
  <c r="G54" i="1"/>
  <c r="G43" i="1"/>
  <c r="F8" i="2"/>
  <c r="F9" i="2"/>
  <c r="F10" i="2"/>
  <c r="F11" i="2"/>
  <c r="F12" i="2"/>
  <c r="F13" i="2"/>
  <c r="F14" i="2"/>
  <c r="F15" i="2"/>
  <c r="F16" i="2"/>
  <c r="F17" i="2"/>
  <c r="F18" i="2"/>
  <c r="F7" i="2"/>
  <c r="F8" i="1"/>
  <c r="F9" i="1"/>
  <c r="F10" i="1"/>
  <c r="F11" i="1"/>
  <c r="F12" i="1"/>
  <c r="F13" i="1"/>
  <c r="F14" i="1"/>
  <c r="F15" i="1"/>
  <c r="F16" i="1"/>
  <c r="F17" i="1"/>
  <c r="F18" i="1"/>
  <c r="F7" i="1"/>
  <c r="G19" i="1" s="1"/>
  <c r="H19" i="1" s="1"/>
  <c r="G19" i="2"/>
  <c r="D19" i="2"/>
  <c r="Q18" i="2"/>
  <c r="R18" i="2" s="1"/>
  <c r="D18" i="2"/>
  <c r="R17" i="2"/>
  <c r="Q17" i="2"/>
  <c r="Q16" i="2"/>
  <c r="R16" i="2" s="1"/>
  <c r="Q15" i="2"/>
  <c r="R15" i="2" s="1"/>
  <c r="Q14" i="2"/>
  <c r="R14" i="2" s="1"/>
  <c r="R13" i="2"/>
  <c r="Q13" i="2"/>
  <c r="Q12" i="2"/>
  <c r="R12" i="2" s="1"/>
  <c r="Q11" i="2"/>
  <c r="R11" i="2" s="1"/>
  <c r="Q10" i="2"/>
  <c r="R10" i="2" s="1"/>
  <c r="R9" i="2"/>
  <c r="Q9" i="2"/>
  <c r="Q8" i="2"/>
  <c r="R8" i="2" s="1"/>
  <c r="Q7" i="2"/>
  <c r="R7" i="2" s="1"/>
  <c r="D19" i="1"/>
  <c r="F19" i="1" s="1"/>
  <c r="E18" i="1"/>
  <c r="R19" i="1"/>
  <c r="R8" i="1"/>
  <c r="R9" i="1"/>
  <c r="R10" i="1"/>
  <c r="R11" i="1"/>
  <c r="R12" i="1"/>
  <c r="R13" i="1"/>
  <c r="R14" i="1"/>
  <c r="R15" i="1"/>
  <c r="R16" i="1"/>
  <c r="R17" i="1"/>
  <c r="R18" i="1"/>
  <c r="R7" i="1"/>
  <c r="Q8" i="1"/>
  <c r="Q9" i="1"/>
  <c r="Q10" i="1"/>
  <c r="Q11" i="1"/>
  <c r="Q12" i="1"/>
  <c r="Q13" i="1"/>
  <c r="Q14" i="1"/>
  <c r="Q15" i="1"/>
  <c r="Q16" i="1"/>
  <c r="Q17" i="1"/>
  <c r="Q18" i="1"/>
  <c r="Q7" i="1"/>
  <c r="D18" i="1"/>
  <c r="F19" i="2" l="1"/>
  <c r="E19" i="1"/>
  <c r="G20" i="1" s="1"/>
  <c r="H20" i="1" s="1"/>
  <c r="R19" i="2"/>
  <c r="E18" i="2" s="1"/>
  <c r="D20" i="1" l="1"/>
  <c r="E19" i="2"/>
  <c r="H19" i="2" l="1"/>
  <c r="D20" i="2"/>
  <c r="G20" i="2"/>
  <c r="H20" i="2" s="1"/>
  <c r="E20" i="1"/>
  <c r="G21" i="1" s="1"/>
  <c r="H21" i="1" s="1"/>
  <c r="F20" i="1"/>
  <c r="F20" i="2" l="1"/>
  <c r="E20" i="2"/>
  <c r="G21" i="2" s="1"/>
  <c r="D21" i="1"/>
  <c r="D21" i="2" l="1"/>
  <c r="F21" i="1"/>
  <c r="E21" i="1"/>
  <c r="D22" i="1" s="1"/>
  <c r="E21" i="2"/>
  <c r="H21" i="2"/>
  <c r="F21" i="2" l="1"/>
  <c r="G22" i="2"/>
  <c r="D22" i="2"/>
  <c r="F22" i="1"/>
  <c r="E22" i="1"/>
  <c r="G23" i="1" s="1"/>
  <c r="H23" i="1" s="1"/>
  <c r="G22" i="1"/>
  <c r="H22" i="1" s="1"/>
  <c r="F22" i="2" l="1"/>
  <c r="E22" i="2"/>
  <c r="G23" i="2" s="1"/>
  <c r="D23" i="1"/>
  <c r="D23" i="2"/>
  <c r="H22" i="2"/>
  <c r="F23" i="2" l="1"/>
  <c r="F23" i="1"/>
  <c r="E23" i="1"/>
  <c r="D24" i="1" s="1"/>
  <c r="E23" i="2"/>
  <c r="G24" i="1" l="1"/>
  <c r="H24" i="1" s="1"/>
  <c r="F24" i="1"/>
  <c r="E24" i="1"/>
  <c r="G25" i="1" s="1"/>
  <c r="H25" i="1" s="1"/>
  <c r="D24" i="2"/>
  <c r="E24" i="2" s="1"/>
  <c r="H23" i="2"/>
  <c r="F24" i="2" l="1"/>
  <c r="G24" i="2"/>
  <c r="H24" i="2" s="1"/>
  <c r="D25" i="1"/>
  <c r="F25" i="1" s="1"/>
  <c r="G25" i="2"/>
  <c r="E25" i="1" l="1"/>
  <c r="G26" i="1" s="1"/>
  <c r="H26" i="1" s="1"/>
  <c r="D26" i="1"/>
  <c r="D25" i="2"/>
  <c r="F25" i="2" l="1"/>
  <c r="F26" i="1"/>
  <c r="E26" i="1"/>
  <c r="G27" i="1" s="1"/>
  <c r="H27" i="1" s="1"/>
  <c r="E25" i="2"/>
  <c r="G26" i="2" s="1"/>
  <c r="H25" i="2"/>
  <c r="D26" i="2" l="1"/>
  <c r="E26" i="2" s="1"/>
  <c r="D27" i="2" s="1"/>
  <c r="D27" i="1"/>
  <c r="F27" i="2" l="1"/>
  <c r="F26" i="2"/>
  <c r="G27" i="2"/>
  <c r="F27" i="1"/>
  <c r="E27" i="1"/>
  <c r="G28" i="1" s="1"/>
  <c r="H28" i="1" s="1"/>
  <c r="H26" i="2"/>
  <c r="E27" i="2"/>
  <c r="G28" i="2" s="1"/>
  <c r="D28" i="2" l="1"/>
  <c r="D28" i="1"/>
  <c r="H27" i="2"/>
  <c r="F28" i="2" l="1"/>
  <c r="F28" i="1"/>
  <c r="E28" i="1"/>
  <c r="G29" i="1" s="1"/>
  <c r="H29" i="1" s="1"/>
  <c r="D29" i="1"/>
  <c r="E28" i="2"/>
  <c r="D29" i="2"/>
  <c r="F29" i="2" l="1"/>
  <c r="G29" i="2"/>
  <c r="F29" i="1"/>
  <c r="E29" i="1"/>
  <c r="G30" i="1" s="1"/>
  <c r="H30" i="1" s="1"/>
  <c r="H28" i="2"/>
  <c r="D30" i="1" l="1"/>
  <c r="E29" i="2"/>
  <c r="F30" i="1" l="1"/>
  <c r="E30" i="1"/>
  <c r="D31" i="1" s="1"/>
  <c r="H29" i="2"/>
  <c r="D30" i="2"/>
  <c r="E30" i="2" s="1"/>
  <c r="G31" i="2" l="1"/>
  <c r="G30" i="2"/>
  <c r="F31" i="1"/>
  <c r="E31" i="1"/>
  <c r="D32" i="1" s="1"/>
  <c r="G31" i="1"/>
  <c r="H31" i="1" s="1"/>
  <c r="F30" i="2"/>
  <c r="D31" i="2"/>
  <c r="H30" i="2"/>
  <c r="E31" i="2"/>
  <c r="G32" i="2" l="1"/>
  <c r="F32" i="1"/>
  <c r="E32" i="1"/>
  <c r="D33" i="1" s="1"/>
  <c r="G32" i="1"/>
  <c r="H32" i="1" s="1"/>
  <c r="F31" i="2"/>
  <c r="D32" i="2"/>
  <c r="H31" i="2"/>
  <c r="F32" i="2"/>
  <c r="F33" i="1" l="1"/>
  <c r="E33" i="1"/>
  <c r="D34" i="1" s="1"/>
  <c r="G33" i="1"/>
  <c r="H33" i="1" s="1"/>
  <c r="E32" i="2"/>
  <c r="D33" i="2" s="1"/>
  <c r="H32" i="2"/>
  <c r="G33" i="2" l="1"/>
  <c r="F34" i="1"/>
  <c r="E34" i="1"/>
  <c r="D35" i="1" s="1"/>
  <c r="G34" i="1"/>
  <c r="H34" i="1" s="1"/>
  <c r="F33" i="2"/>
  <c r="E33" i="2"/>
  <c r="D34" i="2" s="1"/>
  <c r="H33" i="2"/>
  <c r="G34" i="2" l="1"/>
  <c r="F35" i="1"/>
  <c r="E35" i="1"/>
  <c r="D36" i="1" s="1"/>
  <c r="G35" i="1"/>
  <c r="H35" i="1" s="1"/>
  <c r="F34" i="2"/>
  <c r="E34" i="2"/>
  <c r="D35" i="2" s="1"/>
  <c r="H34" i="2"/>
  <c r="G35" i="2" l="1"/>
  <c r="F36" i="1"/>
  <c r="E36" i="1"/>
  <c r="D37" i="1" s="1"/>
  <c r="G36" i="1"/>
  <c r="H36" i="1" s="1"/>
  <c r="F35" i="2"/>
  <c r="E35" i="2"/>
  <c r="D36" i="2" s="1"/>
  <c r="G36" i="2" l="1"/>
  <c r="F37" i="1"/>
  <c r="E37" i="1"/>
  <c r="D38" i="1" s="1"/>
  <c r="G37" i="1"/>
  <c r="H37" i="1" s="1"/>
  <c r="H35" i="2"/>
  <c r="F36" i="2"/>
  <c r="F38" i="1" l="1"/>
  <c r="E38" i="1"/>
  <c r="D39" i="1" s="1"/>
  <c r="G38" i="1"/>
  <c r="H38" i="1" s="1"/>
  <c r="E36" i="2"/>
  <c r="H36" i="2"/>
  <c r="D37" i="2" l="1"/>
  <c r="G37" i="2"/>
  <c r="F39" i="1"/>
  <c r="E39" i="1"/>
  <c r="D40" i="1" s="1"/>
  <c r="G39" i="1"/>
  <c r="H39" i="1" s="1"/>
  <c r="H37" i="2"/>
  <c r="F37" i="2" l="1"/>
  <c r="E37" i="2"/>
  <c r="D38" i="2" s="1"/>
  <c r="F38" i="2" s="1"/>
  <c r="G40" i="1"/>
  <c r="H40" i="1" s="1"/>
  <c r="F40" i="1"/>
  <c r="E40" i="1"/>
  <c r="D41" i="1" s="1"/>
  <c r="G38" i="2" l="1"/>
  <c r="F41" i="1"/>
  <c r="E41" i="1"/>
  <c r="D42" i="1" s="1"/>
  <c r="G41" i="1"/>
  <c r="H41" i="1" s="1"/>
  <c r="E38" i="2"/>
  <c r="D39" i="2" s="1"/>
  <c r="H38" i="2"/>
  <c r="F39" i="2"/>
  <c r="G39" i="2" l="1"/>
  <c r="F42" i="1"/>
  <c r="E42" i="1"/>
  <c r="G42" i="1"/>
  <c r="H42" i="1" s="1"/>
  <c r="E39" i="2"/>
  <c r="D40" i="2" s="1"/>
  <c r="H39" i="2"/>
  <c r="G40" i="2" l="1"/>
  <c r="F40" i="2"/>
  <c r="E40" i="2"/>
  <c r="D41" i="2" s="1"/>
  <c r="G41" i="2" l="1"/>
  <c r="H40" i="2"/>
  <c r="F41" i="2"/>
  <c r="E41" i="2" l="1"/>
  <c r="H41" i="2"/>
  <c r="D42" i="2" l="1"/>
  <c r="G42" i="2"/>
  <c r="E42" i="2"/>
  <c r="H42" i="2"/>
  <c r="F42" i="2" l="1"/>
</calcChain>
</file>

<file path=xl/sharedStrings.xml><?xml version="1.0" encoding="utf-8"?>
<sst xmlns="http://schemas.openxmlformats.org/spreadsheetml/2006/main" count="36" uniqueCount="18">
  <si>
    <t>NRP</t>
  </si>
  <si>
    <t>Alpha</t>
  </si>
  <si>
    <t>Betha</t>
  </si>
  <si>
    <t>Gamma</t>
  </si>
  <si>
    <t>Bulan</t>
  </si>
  <si>
    <t>Penjualan (Aktual)</t>
  </si>
  <si>
    <t>A = 3</t>
  </si>
  <si>
    <t>B = 1</t>
  </si>
  <si>
    <t>Level (L)</t>
  </si>
  <si>
    <t>Trend (T)</t>
  </si>
  <si>
    <t>Musiman (S)</t>
  </si>
  <si>
    <t>Forecast (F)</t>
  </si>
  <si>
    <t>Eror</t>
  </si>
  <si>
    <t>y1</t>
  </si>
  <si>
    <t>y2</t>
  </si>
  <si>
    <t>y2-y1</t>
  </si>
  <si>
    <t>(y2-y1)/12</t>
  </si>
  <si>
    <t>Average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</si>
</sst>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 M'!$C$6</c:f>
              <c:strCache>
                <c:ptCount val="1"/>
                <c:pt idx="0">
                  <c:v>Penjualan (Aktual)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 M'!$C$7:$C$42</c:f>
              <c:numCache>
                <c:formatCode>General</c:formatCode>
                <c:ptCount val="36"/>
                <c:pt idx="0">
                  <c:v>331</c:v>
                </c:pt>
                <c:pt idx="1">
                  <c:v>499</c:v>
                </c:pt>
                <c:pt idx="2">
                  <c:v>716</c:v>
                </c:pt>
                <c:pt idx="3">
                  <c:v>787</c:v>
                </c:pt>
                <c:pt idx="4">
                  <c:v>795</c:v>
                </c:pt>
                <c:pt idx="5">
                  <c:v>1205</c:v>
                </c:pt>
                <c:pt idx="6">
                  <c:v>949</c:v>
                </c:pt>
                <c:pt idx="7">
                  <c:v>869</c:v>
                </c:pt>
                <c:pt idx="8">
                  <c:v>716</c:v>
                </c:pt>
                <c:pt idx="9">
                  <c:v>787</c:v>
                </c:pt>
                <c:pt idx="10">
                  <c:v>493</c:v>
                </c:pt>
                <c:pt idx="11">
                  <c:v>502</c:v>
                </c:pt>
                <c:pt idx="12">
                  <c:v>606</c:v>
                </c:pt>
                <c:pt idx="13">
                  <c:v>626</c:v>
                </c:pt>
                <c:pt idx="14">
                  <c:v>723</c:v>
                </c:pt>
                <c:pt idx="15">
                  <c:v>886</c:v>
                </c:pt>
                <c:pt idx="16">
                  <c:v>1042</c:v>
                </c:pt>
                <c:pt idx="17">
                  <c:v>1446</c:v>
                </c:pt>
                <c:pt idx="18">
                  <c:v>821</c:v>
                </c:pt>
                <c:pt idx="19">
                  <c:v>1178</c:v>
                </c:pt>
                <c:pt idx="20">
                  <c:v>1012</c:v>
                </c:pt>
                <c:pt idx="21">
                  <c:v>631</c:v>
                </c:pt>
                <c:pt idx="22">
                  <c:v>877</c:v>
                </c:pt>
                <c:pt idx="23">
                  <c:v>766</c:v>
                </c:pt>
                <c:pt idx="24">
                  <c:v>507</c:v>
                </c:pt>
                <c:pt idx="25">
                  <c:v>878</c:v>
                </c:pt>
                <c:pt idx="26">
                  <c:v>706</c:v>
                </c:pt>
                <c:pt idx="27">
                  <c:v>1112</c:v>
                </c:pt>
                <c:pt idx="28">
                  <c:v>1081</c:v>
                </c:pt>
                <c:pt idx="29">
                  <c:v>1324</c:v>
                </c:pt>
                <c:pt idx="30">
                  <c:v>1286</c:v>
                </c:pt>
                <c:pt idx="31">
                  <c:v>1375</c:v>
                </c:pt>
                <c:pt idx="32">
                  <c:v>834</c:v>
                </c:pt>
                <c:pt idx="33">
                  <c:v>888</c:v>
                </c:pt>
                <c:pt idx="34">
                  <c:v>701</c:v>
                </c:pt>
                <c:pt idx="35">
                  <c:v>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7-4CC5-B2B9-F723E424B6E2}"/>
            </c:ext>
          </c:extLst>
        </c:ser>
        <c:ser>
          <c:idx val="1"/>
          <c:order val="1"/>
          <c:tx>
            <c:strRef>
              <c:f>'TES M'!$G$6</c:f>
              <c:strCache>
                <c:ptCount val="1"/>
                <c:pt idx="0">
                  <c:v>Forecast (F)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 M'!$G$7:$G$54</c:f>
              <c:numCache>
                <c:formatCode>General</c:formatCode>
                <c:ptCount val="48"/>
                <c:pt idx="12">
                  <c:v>337.26676494392416</c:v>
                </c:pt>
                <c:pt idx="13">
                  <c:v>651.58771368797682</c:v>
                </c:pt>
                <c:pt idx="14">
                  <c:v>953.82267787707985</c:v>
                </c:pt>
                <c:pt idx="15">
                  <c:v>997.53886640096061</c:v>
                </c:pt>
                <c:pt idx="16">
                  <c:v>996.00035470233149</c:v>
                </c:pt>
                <c:pt idx="17">
                  <c:v>1566.2019533946427</c:v>
                </c:pt>
                <c:pt idx="18">
                  <c:v>1230.2816526497029</c:v>
                </c:pt>
                <c:pt idx="19">
                  <c:v>1025.9828527993691</c:v>
                </c:pt>
                <c:pt idx="20">
                  <c:v>896.43809772672159</c:v>
                </c:pt>
                <c:pt idx="21">
                  <c:v>1042.1068951036852</c:v>
                </c:pt>
                <c:pt idx="22">
                  <c:v>579.51707525188215</c:v>
                </c:pt>
                <c:pt idx="23">
                  <c:v>694.09990185577055</c:v>
                </c:pt>
                <c:pt idx="24">
                  <c:v>590.44438100251011</c:v>
                </c:pt>
                <c:pt idx="25">
                  <c:v>698.05132189395158</c:v>
                </c:pt>
                <c:pt idx="26">
                  <c:v>1017.2849694769354</c:v>
                </c:pt>
                <c:pt idx="27">
                  <c:v>1088.1075263301391</c:v>
                </c:pt>
                <c:pt idx="28">
                  <c:v>1189.1293785701296</c:v>
                </c:pt>
                <c:pt idx="29">
                  <c:v>1699.1529224008777</c:v>
                </c:pt>
                <c:pt idx="30">
                  <c:v>1125.4674147793191</c:v>
                </c:pt>
                <c:pt idx="31">
                  <c:v>1308.452487547605</c:v>
                </c:pt>
                <c:pt idx="32">
                  <c:v>1100.1859014186273</c:v>
                </c:pt>
                <c:pt idx="33">
                  <c:v>910.17909373095051</c:v>
                </c:pt>
                <c:pt idx="34">
                  <c:v>778.16794894505256</c:v>
                </c:pt>
                <c:pt idx="35">
                  <c:v>688.8759727035698</c:v>
                </c:pt>
                <c:pt idx="36">
                  <c:v>444.55465559989608</c:v>
                </c:pt>
                <c:pt idx="37">
                  <c:v>608.4847017190715</c:v>
                </c:pt>
                <c:pt idx="38">
                  <c:v>646.23468166098121</c:v>
                </c:pt>
                <c:pt idx="39">
                  <c:v>845.42566076907406</c:v>
                </c:pt>
                <c:pt idx="40">
                  <c:v>856.3371263134153</c:v>
                </c:pt>
                <c:pt idx="41">
                  <c:v>1162.0989544463387</c:v>
                </c:pt>
                <c:pt idx="42">
                  <c:v>923.08753495247709</c:v>
                </c:pt>
                <c:pt idx="43">
                  <c:v>975.64164914425749</c:v>
                </c:pt>
                <c:pt idx="44">
                  <c:v>703.46213109228609</c:v>
                </c:pt>
                <c:pt idx="45">
                  <c:v>672.01298533713339</c:v>
                </c:pt>
                <c:pt idx="46">
                  <c:v>552.80449212831832</c:v>
                </c:pt>
                <c:pt idx="47">
                  <c:v>435.74795200697719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7-4CC5-B2B9-F723E424B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341727"/>
        <c:axId val="757341247"/>
      </c:lineChart>
      <c:catAx>
        <c:axId val="757341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341247"/>
        <c:crosses val="autoZero"/>
        <c:auto val="1"/>
        <c:lblAlgn val="ctr"/>
        <c:lblOffset val="100"/>
        <c:noMultiLvlLbl val="0"/>
      </c:catAx>
      <c:valAx>
        <c:axId val="75734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34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 A'!$C$6</c:f>
              <c:strCache>
                <c:ptCount val="1"/>
                <c:pt idx="0">
                  <c:v>Penjualan (Aktual)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 A'!$C$7:$C$42</c:f>
              <c:numCache>
                <c:formatCode>General</c:formatCode>
                <c:ptCount val="36"/>
                <c:pt idx="0">
                  <c:v>331</c:v>
                </c:pt>
                <c:pt idx="1">
                  <c:v>499</c:v>
                </c:pt>
                <c:pt idx="2">
                  <c:v>716</c:v>
                </c:pt>
                <c:pt idx="3">
                  <c:v>787</c:v>
                </c:pt>
                <c:pt idx="4">
                  <c:v>795</c:v>
                </c:pt>
                <c:pt idx="5">
                  <c:v>1205</c:v>
                </c:pt>
                <c:pt idx="6">
                  <c:v>949</c:v>
                </c:pt>
                <c:pt idx="7">
                  <c:v>869</c:v>
                </c:pt>
                <c:pt idx="8">
                  <c:v>716</c:v>
                </c:pt>
                <c:pt idx="9">
                  <c:v>787</c:v>
                </c:pt>
                <c:pt idx="10">
                  <c:v>493</c:v>
                </c:pt>
                <c:pt idx="11">
                  <c:v>502</c:v>
                </c:pt>
                <c:pt idx="12">
                  <c:v>606</c:v>
                </c:pt>
                <c:pt idx="13">
                  <c:v>626</c:v>
                </c:pt>
                <c:pt idx="14">
                  <c:v>723</c:v>
                </c:pt>
                <c:pt idx="15">
                  <c:v>886</c:v>
                </c:pt>
                <c:pt idx="16">
                  <c:v>1042</c:v>
                </c:pt>
                <c:pt idx="17">
                  <c:v>1446</c:v>
                </c:pt>
                <c:pt idx="18">
                  <c:v>821</c:v>
                </c:pt>
                <c:pt idx="19">
                  <c:v>1178</c:v>
                </c:pt>
                <c:pt idx="20">
                  <c:v>1012</c:v>
                </c:pt>
                <c:pt idx="21">
                  <c:v>631</c:v>
                </c:pt>
                <c:pt idx="22">
                  <c:v>877</c:v>
                </c:pt>
                <c:pt idx="23">
                  <c:v>766</c:v>
                </c:pt>
                <c:pt idx="24">
                  <c:v>507</c:v>
                </c:pt>
                <c:pt idx="25">
                  <c:v>878</c:v>
                </c:pt>
                <c:pt idx="26">
                  <c:v>706</c:v>
                </c:pt>
                <c:pt idx="27">
                  <c:v>1112</c:v>
                </c:pt>
                <c:pt idx="28">
                  <c:v>1081</c:v>
                </c:pt>
                <c:pt idx="29">
                  <c:v>1324</c:v>
                </c:pt>
                <c:pt idx="30">
                  <c:v>1286</c:v>
                </c:pt>
                <c:pt idx="31">
                  <c:v>1375</c:v>
                </c:pt>
                <c:pt idx="32">
                  <c:v>834</c:v>
                </c:pt>
                <c:pt idx="33">
                  <c:v>888</c:v>
                </c:pt>
                <c:pt idx="34">
                  <c:v>701</c:v>
                </c:pt>
                <c:pt idx="35">
                  <c:v>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A-49C6-A750-E11585445FCA}"/>
            </c:ext>
          </c:extLst>
        </c:ser>
        <c:ser>
          <c:idx val="1"/>
          <c:order val="1"/>
          <c:tx>
            <c:strRef>
              <c:f>'TES A'!$G$6</c:f>
              <c:strCache>
                <c:ptCount val="1"/>
                <c:pt idx="0">
                  <c:v>Forecast (F)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 A'!$G$7:$G$54</c:f>
              <c:numCache>
                <c:formatCode>General</c:formatCode>
                <c:ptCount val="48"/>
                <c:pt idx="12">
                  <c:v>344.64583333333337</c:v>
                </c:pt>
                <c:pt idx="13">
                  <c:v>612.53854166666656</c:v>
                </c:pt>
                <c:pt idx="14">
                  <c:v>855.4672812499997</c:v>
                </c:pt>
                <c:pt idx="15">
                  <c:v>904.64338052083303</c:v>
                </c:pt>
                <c:pt idx="16">
                  <c:v>924.40734859479142</c:v>
                </c:pt>
                <c:pt idx="17">
                  <c:v>1390.5699057887184</c:v>
                </c:pt>
                <c:pt idx="18">
                  <c:v>1173.7465986508059</c:v>
                </c:pt>
                <c:pt idx="19">
                  <c:v>999.88788569474275</c:v>
                </c:pt>
                <c:pt idx="20">
                  <c:v>917.63015005465627</c:v>
                </c:pt>
                <c:pt idx="21">
                  <c:v>1037.0808306049562</c:v>
                </c:pt>
                <c:pt idx="22">
                  <c:v>629.21388207201733</c:v>
                </c:pt>
                <c:pt idx="23">
                  <c:v>727.94060163679967</c:v>
                </c:pt>
                <c:pt idx="24">
                  <c:v>676.36504561637685</c:v>
                </c:pt>
                <c:pt idx="25">
                  <c:v>718.24479878358954</c:v>
                </c:pt>
                <c:pt idx="26">
                  <c:v>948.34067109963053</c:v>
                </c:pt>
                <c:pt idx="27">
                  <c:v>995.45098569724519</c:v>
                </c:pt>
                <c:pt idx="28">
                  <c:v>1098.5689222635647</c:v>
                </c:pt>
                <c:pt idx="29">
                  <c:v>1493.484904000092</c:v>
                </c:pt>
                <c:pt idx="30">
                  <c:v>1050.6365966118024</c:v>
                </c:pt>
                <c:pt idx="31">
                  <c:v>1240.9660755779983</c:v>
                </c:pt>
                <c:pt idx="32">
                  <c:v>1116.8073865264037</c:v>
                </c:pt>
                <c:pt idx="33">
                  <c:v>937.26413692786002</c:v>
                </c:pt>
                <c:pt idx="34">
                  <c:v>865.31710828017719</c:v>
                </c:pt>
                <c:pt idx="35">
                  <c:v>754.66689114419148</c:v>
                </c:pt>
                <c:pt idx="36">
                  <c:v>495.48148720283092</c:v>
                </c:pt>
                <c:pt idx="37">
                  <c:v>684.95038613905558</c:v>
                </c:pt>
                <c:pt idx="38">
                  <c:v>703.18103243569033</c:v>
                </c:pt>
                <c:pt idx="39">
                  <c:v>932.670048043149</c:v>
                </c:pt>
                <c:pt idx="40">
                  <c:v>934.4506418804674</c:v>
                </c:pt>
                <c:pt idx="41">
                  <c:v>1262.562413716224</c:v>
                </c:pt>
                <c:pt idx="42">
                  <c:v>998.43673926181054</c:v>
                </c:pt>
                <c:pt idx="43">
                  <c:v>1061.8112316196796</c:v>
                </c:pt>
                <c:pt idx="44">
                  <c:v>726.64624072318338</c:v>
                </c:pt>
                <c:pt idx="45">
                  <c:v>697.2679003514844</c:v>
                </c:pt>
                <c:pt idx="46">
                  <c:v>584.89205282611761</c:v>
                </c:pt>
                <c:pt idx="47">
                  <c:v>454.2545374374543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A-49C6-A750-E11585445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253759"/>
        <c:axId val="763270559"/>
      </c:lineChart>
      <c:catAx>
        <c:axId val="76325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70559"/>
        <c:crosses val="autoZero"/>
        <c:auto val="1"/>
        <c:lblAlgn val="ctr"/>
        <c:lblOffset val="100"/>
        <c:noMultiLvlLbl val="0"/>
      </c:catAx>
      <c:valAx>
        <c:axId val="76327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5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220265</xdr:colOff>
      <xdr:row>24</xdr:row>
      <xdr:rowOff>134540</xdr:rowOff>
    </xdr:from>
    <xdr:to>
      <xdr:col>15</xdr:col>
      <xdr:colOff>541734</xdr:colOff>
      <xdr:row>40</xdr:row>
      <xdr:rowOff>20240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F712F4-3746-DE94-A0B5-709023AFE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359833</xdr:colOff>
      <xdr:row>18</xdr:row>
      <xdr:rowOff>141816</xdr:rowOff>
    </xdr:from>
    <xdr:to>
      <xdr:col>16</xdr:col>
      <xdr:colOff>21167</xdr:colOff>
      <xdr:row>34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3BAD3B-0950-88E5-B21F-29D71A803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zoomScale="64" zoomScaleNormal="77" workbookViewId="0">
      <selection activeCell="F19" sqref="F19"/>
    </sheetView>
  </sheetViews>
  <sheetFormatPr defaultRowHeight="14.4" x14ac:dyDescent="0.3"/>
  <cols>
    <col min="3" max="3" width="11.109375" bestFit="1" customWidth="1"/>
    <col min="4" max="8" width="19.44140625" customWidth="1"/>
  </cols>
  <sheetData>
    <row r="1" spans="2:18" x14ac:dyDescent="0.3">
      <c r="B1" t="s">
        <v>0</v>
      </c>
      <c r="C1">
        <v>5026231131</v>
      </c>
      <c r="E1" t="s">
        <v>6</v>
      </c>
      <c r="F1" t="s">
        <v>7</v>
      </c>
    </row>
    <row r="3" spans="2:18" x14ac:dyDescent="0.3">
      <c r="B3" t="s">
        <v>1</v>
      </c>
      <c r="C3">
        <v>0.3</v>
      </c>
    </row>
    <row r="4" spans="2:18" x14ac:dyDescent="0.3">
      <c r="B4" t="s">
        <v>2</v>
      </c>
      <c r="C4">
        <v>0.1</v>
      </c>
    </row>
    <row r="5" spans="2:18" x14ac:dyDescent="0.3">
      <c r="B5" t="s">
        <v>3</v>
      </c>
      <c r="C5">
        <v>0.5</v>
      </c>
    </row>
    <row r="6" spans="2:18" ht="28.8" x14ac:dyDescent="0.3">
      <c r="B6" s="1" t="s">
        <v>4</v>
      </c>
      <c r="C6" s="1" t="s">
        <v>5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O6" t="s">
        <v>13</v>
      </c>
      <c r="P6" t="s">
        <v>14</v>
      </c>
      <c r="Q6" t="s">
        <v>15</v>
      </c>
      <c r="R6" t="s">
        <v>16</v>
      </c>
    </row>
    <row r="7" spans="2:18" x14ac:dyDescent="0.3">
      <c r="B7" s="2">
        <v>43101</v>
      </c>
      <c r="C7" s="3">
        <v>331</v>
      </c>
      <c r="F7">
        <f>C7/$D$18</f>
        <v>0.45924384321886924</v>
      </c>
      <c r="O7" s="3">
        <v>331</v>
      </c>
      <c r="P7" s="3">
        <v>606</v>
      </c>
      <c r="Q7">
        <f>P7-O7</f>
        <v>275</v>
      </c>
      <c r="R7">
        <f>Q7/12</f>
        <v>22.916666666666668</v>
      </c>
    </row>
    <row r="8" spans="2:18" x14ac:dyDescent="0.3">
      <c r="B8" s="2">
        <v>43132</v>
      </c>
      <c r="C8" s="3">
        <v>499</v>
      </c>
      <c r="F8">
        <f t="shared" ref="F8:F18" si="0">C8/$D$18</f>
        <v>0.69233437391605968</v>
      </c>
      <c r="O8" s="3">
        <v>499</v>
      </c>
      <c r="P8" s="3">
        <v>626</v>
      </c>
      <c r="Q8">
        <f t="shared" ref="Q8:Q18" si="1">P8-O8</f>
        <v>127</v>
      </c>
      <c r="R8">
        <f t="shared" ref="R8:R18" si="2">Q8/12</f>
        <v>10.583333333333334</v>
      </c>
    </row>
    <row r="9" spans="2:18" x14ac:dyDescent="0.3">
      <c r="B9" s="2">
        <v>43160</v>
      </c>
      <c r="C9" s="3">
        <v>716</v>
      </c>
      <c r="F9">
        <f t="shared" si="0"/>
        <v>0.99340964273326393</v>
      </c>
      <c r="O9" s="3">
        <v>716</v>
      </c>
      <c r="P9" s="3">
        <v>723</v>
      </c>
      <c r="Q9">
        <f t="shared" si="1"/>
        <v>7</v>
      </c>
      <c r="R9">
        <f t="shared" si="2"/>
        <v>0.58333333333333337</v>
      </c>
    </row>
    <row r="10" spans="2:18" x14ac:dyDescent="0.3">
      <c r="B10" s="2">
        <v>43191</v>
      </c>
      <c r="C10" s="3">
        <v>787</v>
      </c>
      <c r="F10">
        <f t="shared" si="0"/>
        <v>1.091918140825529</v>
      </c>
      <c r="O10" s="3">
        <v>787</v>
      </c>
      <c r="P10" s="3">
        <v>886</v>
      </c>
      <c r="Q10">
        <f t="shared" si="1"/>
        <v>99</v>
      </c>
      <c r="R10">
        <f t="shared" si="2"/>
        <v>8.25</v>
      </c>
    </row>
    <row r="11" spans="2:18" x14ac:dyDescent="0.3">
      <c r="B11" s="2">
        <v>43221</v>
      </c>
      <c r="C11" s="3">
        <v>795</v>
      </c>
      <c r="F11">
        <f t="shared" si="0"/>
        <v>1.1030176899063475</v>
      </c>
      <c r="O11" s="3">
        <v>795</v>
      </c>
      <c r="P11" s="3">
        <v>1042</v>
      </c>
      <c r="Q11">
        <f t="shared" si="1"/>
        <v>247</v>
      </c>
      <c r="R11">
        <f t="shared" si="2"/>
        <v>20.583333333333332</v>
      </c>
    </row>
    <row r="12" spans="2:18" x14ac:dyDescent="0.3">
      <c r="B12" s="2">
        <v>43252</v>
      </c>
      <c r="C12" s="3">
        <v>1205</v>
      </c>
      <c r="F12">
        <f t="shared" si="0"/>
        <v>1.6718695802983004</v>
      </c>
      <c r="O12" s="3">
        <v>1205</v>
      </c>
      <c r="P12" s="3">
        <v>1446</v>
      </c>
      <c r="Q12">
        <f t="shared" si="1"/>
        <v>241</v>
      </c>
      <c r="R12">
        <f t="shared" si="2"/>
        <v>20.083333333333332</v>
      </c>
    </row>
    <row r="13" spans="2:18" x14ac:dyDescent="0.3">
      <c r="B13" s="2">
        <v>43282</v>
      </c>
      <c r="C13" s="3">
        <v>949</v>
      </c>
      <c r="F13">
        <f t="shared" si="0"/>
        <v>1.3166840097121055</v>
      </c>
      <c r="O13" s="3">
        <v>949</v>
      </c>
      <c r="P13" s="3">
        <v>821</v>
      </c>
      <c r="Q13">
        <f t="shared" si="1"/>
        <v>-128</v>
      </c>
      <c r="R13">
        <f t="shared" si="2"/>
        <v>-10.666666666666666</v>
      </c>
    </row>
    <row r="14" spans="2:18" x14ac:dyDescent="0.3">
      <c r="B14" s="2">
        <v>43313</v>
      </c>
      <c r="C14" s="3">
        <v>869</v>
      </c>
      <c r="F14">
        <f t="shared" si="0"/>
        <v>1.2056885189039195</v>
      </c>
      <c r="O14" s="3">
        <v>869</v>
      </c>
      <c r="P14" s="3">
        <v>1178</v>
      </c>
      <c r="Q14">
        <f t="shared" si="1"/>
        <v>309</v>
      </c>
      <c r="R14">
        <f t="shared" si="2"/>
        <v>25.75</v>
      </c>
    </row>
    <row r="15" spans="2:18" x14ac:dyDescent="0.3">
      <c r="B15" s="2">
        <v>43344</v>
      </c>
      <c r="C15" s="3">
        <v>716</v>
      </c>
      <c r="F15">
        <f t="shared" si="0"/>
        <v>0.99340964273326393</v>
      </c>
      <c r="O15" s="3">
        <v>716</v>
      </c>
      <c r="P15" s="3">
        <v>1012</v>
      </c>
      <c r="Q15">
        <f t="shared" si="1"/>
        <v>296</v>
      </c>
      <c r="R15">
        <f t="shared" si="2"/>
        <v>24.666666666666668</v>
      </c>
    </row>
    <row r="16" spans="2:18" x14ac:dyDescent="0.3">
      <c r="B16" s="2">
        <v>43374</v>
      </c>
      <c r="C16" s="3">
        <v>787</v>
      </c>
      <c r="F16">
        <f t="shared" si="0"/>
        <v>1.091918140825529</v>
      </c>
      <c r="O16" s="3">
        <v>787</v>
      </c>
      <c r="P16" s="3">
        <v>631</v>
      </c>
      <c r="Q16">
        <f t="shared" si="1"/>
        <v>-156</v>
      </c>
      <c r="R16">
        <f t="shared" si="2"/>
        <v>-13</v>
      </c>
    </row>
    <row r="17" spans="2:18" x14ac:dyDescent="0.3">
      <c r="B17" s="2">
        <v>43405</v>
      </c>
      <c r="C17" s="3">
        <v>493</v>
      </c>
      <c r="F17">
        <f t="shared" si="0"/>
        <v>0.6840097121054457</v>
      </c>
      <c r="O17" s="3">
        <v>493</v>
      </c>
      <c r="P17" s="3">
        <v>877</v>
      </c>
      <c r="Q17">
        <f t="shared" si="1"/>
        <v>384</v>
      </c>
      <c r="R17">
        <f t="shared" si="2"/>
        <v>32</v>
      </c>
    </row>
    <row r="18" spans="2:18" x14ac:dyDescent="0.3">
      <c r="B18" s="2">
        <v>43435</v>
      </c>
      <c r="C18" s="3">
        <v>502</v>
      </c>
      <c r="D18">
        <f>AVERAGE(C7:C18)</f>
        <v>720.75</v>
      </c>
      <c r="E18">
        <f>R19</f>
        <v>13.645833333333334</v>
      </c>
      <c r="F18">
        <f t="shared" si="0"/>
        <v>0.69649670482136661</v>
      </c>
      <c r="O18" s="3">
        <v>502</v>
      </c>
      <c r="P18" s="3">
        <v>766</v>
      </c>
      <c r="Q18">
        <f t="shared" si="1"/>
        <v>264</v>
      </c>
      <c r="R18">
        <f t="shared" si="2"/>
        <v>22</v>
      </c>
    </row>
    <row r="19" spans="2:18" x14ac:dyDescent="0.3">
      <c r="B19" s="2">
        <v>43466</v>
      </c>
      <c r="C19" s="3">
        <v>606</v>
      </c>
      <c r="D19">
        <f>$C$3*(C19/F7)+(1-$C$3)*(D18+E18)</f>
        <v>909.94521022155084</v>
      </c>
      <c r="E19">
        <f>$C$4*(D19-D18)+(1-$C$4)*E18</f>
        <v>31.200771022155084</v>
      </c>
      <c r="F19">
        <f>$C$5*(C19/D19)+(1-$C$5)*F7</f>
        <v>0.56260900324507124</v>
      </c>
      <c r="G19">
        <f>(D18+E18*1)*F7</f>
        <v>337.26676494392416</v>
      </c>
      <c r="H19">
        <f>C19-G19</f>
        <v>268.73323505607584</v>
      </c>
      <c r="Q19" t="s">
        <v>17</v>
      </c>
      <c r="R19">
        <f>SUM(R7:R18)/12</f>
        <v>13.645833333333334</v>
      </c>
    </row>
    <row r="20" spans="2:18" x14ac:dyDescent="0.3">
      <c r="B20" s="2">
        <v>43497</v>
      </c>
      <c r="C20" s="3">
        <v>626</v>
      </c>
      <c r="D20">
        <f t="shared" ref="D20:D42" si="3">$C$3*(C20/F8)+(1-$C$3)*(D19+E19)</f>
        <v>930.05839929544391</v>
      </c>
      <c r="E20">
        <f t="shared" ref="E20:E42" si="4">$C$4*(D20-D19)+(1-$C$4)*E19</f>
        <v>30.092012827328883</v>
      </c>
      <c r="F20">
        <f t="shared" ref="F20:F42" si="5">$C$5*(C20/D20)+(1-$C$5)*F8</f>
        <v>0.68270519385857487</v>
      </c>
      <c r="G20">
        <f t="shared" ref="G20:G42" si="6">(D19+E19*1)*F8</f>
        <v>651.58771368797682</v>
      </c>
      <c r="H20">
        <f t="shared" ref="H20:H42" si="7">C20-G20</f>
        <v>-25.587713687976816</v>
      </c>
    </row>
    <row r="21" spans="2:18" x14ac:dyDescent="0.3">
      <c r="B21" s="2">
        <v>43525</v>
      </c>
      <c r="C21" s="3">
        <v>723</v>
      </c>
      <c r="D21">
        <f t="shared" si="3"/>
        <v>890.4442200501868</v>
      </c>
      <c r="E21">
        <f t="shared" si="4"/>
        <v>23.121393620070283</v>
      </c>
      <c r="F21">
        <f t="shared" si="5"/>
        <v>0.90268196385358679</v>
      </c>
      <c r="G21">
        <f t="shared" si="6"/>
        <v>953.82267787707985</v>
      </c>
      <c r="H21">
        <f t="shared" si="7"/>
        <v>-230.82267787707985</v>
      </c>
    </row>
    <row r="22" spans="2:18" x14ac:dyDescent="0.3">
      <c r="B22" s="2">
        <v>43556</v>
      </c>
      <c r="C22" s="3">
        <v>886</v>
      </c>
      <c r="D22">
        <f t="shared" si="3"/>
        <v>882.92077073817609</v>
      </c>
      <c r="E22">
        <f t="shared" si="4"/>
        <v>20.056909326862183</v>
      </c>
      <c r="F22">
        <f t="shared" si="5"/>
        <v>1.0477028448055956</v>
      </c>
      <c r="G22">
        <f t="shared" si="6"/>
        <v>997.53886640096061</v>
      </c>
      <c r="H22">
        <f t="shared" si="7"/>
        <v>-111.53886640096061</v>
      </c>
    </row>
    <row r="23" spans="2:18" x14ac:dyDescent="0.3">
      <c r="B23" s="2">
        <v>43586</v>
      </c>
      <c r="C23" s="3">
        <v>1042</v>
      </c>
      <c r="D23">
        <f t="shared" si="3"/>
        <v>915.4887156681682</v>
      </c>
      <c r="E23">
        <f t="shared" si="4"/>
        <v>21.308012887175177</v>
      </c>
      <c r="F23">
        <f t="shared" si="5"/>
        <v>1.1206037896349865</v>
      </c>
      <c r="G23">
        <f t="shared" si="6"/>
        <v>996.00035470233149</v>
      </c>
      <c r="H23">
        <f t="shared" si="7"/>
        <v>45.999645297668508</v>
      </c>
    </row>
    <row r="24" spans="2:18" x14ac:dyDescent="0.3">
      <c r="B24" s="2">
        <v>43617</v>
      </c>
      <c r="C24" s="3">
        <v>1446</v>
      </c>
      <c r="D24">
        <f t="shared" si="3"/>
        <v>915.22770998874034</v>
      </c>
      <c r="E24">
        <f t="shared" si="4"/>
        <v>19.151111030514876</v>
      </c>
      <c r="F24">
        <f t="shared" si="5"/>
        <v>1.625902130636355</v>
      </c>
      <c r="G24">
        <f t="shared" si="6"/>
        <v>1566.2019533946427</v>
      </c>
      <c r="H24">
        <f t="shared" si="7"/>
        <v>-120.20195339464271</v>
      </c>
    </row>
    <row r="25" spans="2:18" x14ac:dyDescent="0.3">
      <c r="B25" s="2">
        <v>43647</v>
      </c>
      <c r="C25" s="3">
        <v>821</v>
      </c>
      <c r="D25">
        <f t="shared" si="3"/>
        <v>841.1260018999908</v>
      </c>
      <c r="E25">
        <f t="shared" si="4"/>
        <v>9.8258291185884339</v>
      </c>
      <c r="F25">
        <f t="shared" si="5"/>
        <v>1.1463782789371484</v>
      </c>
      <c r="G25">
        <f t="shared" si="6"/>
        <v>1230.2816526497029</v>
      </c>
      <c r="H25">
        <f t="shared" si="7"/>
        <v>-409.28165264970289</v>
      </c>
    </row>
    <row r="26" spans="2:18" x14ac:dyDescent="0.3">
      <c r="B26" s="2">
        <v>43678</v>
      </c>
      <c r="C26" s="3">
        <v>1178</v>
      </c>
      <c r="D26">
        <f t="shared" si="3"/>
        <v>888.77681105707916</v>
      </c>
      <c r="E26">
        <f t="shared" si="4"/>
        <v>13.608327122438427</v>
      </c>
      <c r="F26">
        <f t="shared" si="5"/>
        <v>1.2655528187577145</v>
      </c>
      <c r="G26">
        <f t="shared" si="6"/>
        <v>1025.9828527993691</v>
      </c>
      <c r="H26">
        <f t="shared" si="7"/>
        <v>152.01714720063092</v>
      </c>
    </row>
    <row r="27" spans="2:18" x14ac:dyDescent="0.3">
      <c r="B27" s="2">
        <v>43709</v>
      </c>
      <c r="C27" s="3">
        <v>1012</v>
      </c>
      <c r="D27">
        <f t="shared" si="3"/>
        <v>937.28370287091377</v>
      </c>
      <c r="E27">
        <f t="shared" si="4"/>
        <v>17.098183591578046</v>
      </c>
      <c r="F27">
        <f t="shared" si="5"/>
        <v>1.0365627090586025</v>
      </c>
      <c r="G27">
        <f t="shared" si="6"/>
        <v>896.43809772672159</v>
      </c>
      <c r="H27">
        <f t="shared" si="7"/>
        <v>115.56190227327841</v>
      </c>
    </row>
    <row r="28" spans="2:18" x14ac:dyDescent="0.3">
      <c r="B28" s="2">
        <v>43739</v>
      </c>
      <c r="C28" s="3">
        <v>631</v>
      </c>
      <c r="D28">
        <f t="shared" si="3"/>
        <v>841.43196474229569</v>
      </c>
      <c r="E28">
        <f t="shared" si="4"/>
        <v>5.8031914195584324</v>
      </c>
      <c r="F28">
        <f t="shared" si="5"/>
        <v>0.92091511346804322</v>
      </c>
      <c r="G28">
        <f t="shared" si="6"/>
        <v>1042.1068951036852</v>
      </c>
      <c r="H28">
        <f t="shared" si="7"/>
        <v>-411.10689510368525</v>
      </c>
    </row>
    <row r="29" spans="2:18" x14ac:dyDescent="0.3">
      <c r="B29" s="2">
        <v>43770</v>
      </c>
      <c r="C29" s="3">
        <v>877</v>
      </c>
      <c r="D29">
        <f t="shared" si="3"/>
        <v>977.70827057090435</v>
      </c>
      <c r="E29">
        <f t="shared" si="4"/>
        <v>18.850502860463457</v>
      </c>
      <c r="F29">
        <f t="shared" si="5"/>
        <v>0.79050264746851062</v>
      </c>
      <c r="G29">
        <f t="shared" si="6"/>
        <v>579.51707525188215</v>
      </c>
      <c r="H29">
        <f t="shared" si="7"/>
        <v>297.48292474811785</v>
      </c>
    </row>
    <row r="30" spans="2:18" x14ac:dyDescent="0.3">
      <c r="B30" s="2">
        <v>43800</v>
      </c>
      <c r="C30" s="3">
        <v>766</v>
      </c>
      <c r="D30">
        <f t="shared" si="3"/>
        <v>1027.5280935931924</v>
      </c>
      <c r="E30">
        <f t="shared" si="4"/>
        <v>21.947434876645914</v>
      </c>
      <c r="F30">
        <f t="shared" si="5"/>
        <v>0.72098755281607207</v>
      </c>
      <c r="G30">
        <f t="shared" si="6"/>
        <v>694.09990185577055</v>
      </c>
      <c r="H30">
        <f t="shared" si="7"/>
        <v>71.900098144229446</v>
      </c>
    </row>
    <row r="31" spans="2:18" x14ac:dyDescent="0.3">
      <c r="B31" s="2">
        <v>43831</v>
      </c>
      <c r="C31" s="3">
        <v>507</v>
      </c>
      <c r="D31">
        <f t="shared" si="3"/>
        <v>1004.9804810099444</v>
      </c>
      <c r="E31">
        <f t="shared" si="4"/>
        <v>17.497930130656524</v>
      </c>
      <c r="F31">
        <f t="shared" si="5"/>
        <v>0.53354820663981906</v>
      </c>
      <c r="G31">
        <f t="shared" si="6"/>
        <v>590.44438100251011</v>
      </c>
      <c r="H31">
        <f t="shared" si="7"/>
        <v>-83.444381002510113</v>
      </c>
    </row>
    <row r="32" spans="2:18" x14ac:dyDescent="0.3">
      <c r="B32" s="2">
        <v>43862</v>
      </c>
      <c r="C32" s="3">
        <v>878</v>
      </c>
      <c r="D32">
        <f t="shared" si="3"/>
        <v>1101.5529573978213</v>
      </c>
      <c r="E32">
        <f t="shared" si="4"/>
        <v>25.405384756378567</v>
      </c>
      <c r="F32">
        <f t="shared" si="5"/>
        <v>0.73988087199019947</v>
      </c>
      <c r="G32">
        <f t="shared" si="6"/>
        <v>698.05132189395158</v>
      </c>
      <c r="H32">
        <f t="shared" si="7"/>
        <v>179.94867810604842</v>
      </c>
    </row>
    <row r="33" spans="1:8" x14ac:dyDescent="0.3">
      <c r="B33" s="2">
        <v>43891</v>
      </c>
      <c r="C33" s="3">
        <v>706</v>
      </c>
      <c r="D33">
        <f t="shared" si="3"/>
        <v>1023.5049725483486</v>
      </c>
      <c r="E33">
        <f t="shared" si="4"/>
        <v>15.060047795793446</v>
      </c>
      <c r="F33">
        <f t="shared" si="5"/>
        <v>0.79623427455153917</v>
      </c>
      <c r="G33">
        <f t="shared" si="6"/>
        <v>1017.2849694769354</v>
      </c>
      <c r="H33">
        <f t="shared" si="7"/>
        <v>-311.28496947693543</v>
      </c>
    </row>
    <row r="34" spans="1:8" x14ac:dyDescent="0.3">
      <c r="B34" s="2">
        <v>43922</v>
      </c>
      <c r="C34" s="3">
        <v>1112</v>
      </c>
      <c r="D34">
        <f t="shared" si="3"/>
        <v>1045.4064087554605</v>
      </c>
      <c r="E34">
        <f t="shared" si="4"/>
        <v>15.744186636925285</v>
      </c>
      <c r="F34">
        <f t="shared" si="5"/>
        <v>1.0557019977803765</v>
      </c>
      <c r="G34">
        <f t="shared" si="6"/>
        <v>1088.1075263301391</v>
      </c>
      <c r="H34">
        <f t="shared" si="7"/>
        <v>23.892473669860919</v>
      </c>
    </row>
    <row r="35" spans="1:8" x14ac:dyDescent="0.3">
      <c r="B35" s="2">
        <v>43952</v>
      </c>
      <c r="C35" s="3">
        <v>1081</v>
      </c>
      <c r="D35">
        <f t="shared" si="3"/>
        <v>1032.2029745909199</v>
      </c>
      <c r="E35">
        <f t="shared" si="4"/>
        <v>12.8494245567787</v>
      </c>
      <c r="F35">
        <f t="shared" si="5"/>
        <v>1.0839392154851746</v>
      </c>
      <c r="G35">
        <f t="shared" si="6"/>
        <v>1189.1293785701296</v>
      </c>
      <c r="H35">
        <f t="shared" si="7"/>
        <v>-108.12937857012957</v>
      </c>
    </row>
    <row r="36" spans="1:8" x14ac:dyDescent="0.3">
      <c r="B36" s="2">
        <v>43983</v>
      </c>
      <c r="C36" s="3">
        <v>1324</v>
      </c>
      <c r="D36">
        <f t="shared" si="3"/>
        <v>975.83182639636425</v>
      </c>
      <c r="E36">
        <f t="shared" si="4"/>
        <v>5.9273672816452656</v>
      </c>
      <c r="F36">
        <f t="shared" si="5"/>
        <v>1.4913466475207899</v>
      </c>
      <c r="G36">
        <f t="shared" si="6"/>
        <v>1699.1529224008777</v>
      </c>
      <c r="H36">
        <f t="shared" si="7"/>
        <v>-375.15292240087774</v>
      </c>
    </row>
    <row r="37" spans="1:8" x14ac:dyDescent="0.3">
      <c r="B37" s="2">
        <v>44013</v>
      </c>
      <c r="C37" s="3">
        <v>1286</v>
      </c>
      <c r="D37">
        <f t="shared" si="3"/>
        <v>1023.7695635978365</v>
      </c>
      <c r="E37">
        <f t="shared" si="4"/>
        <v>10.128404273627964</v>
      </c>
      <c r="F37">
        <f t="shared" si="5"/>
        <v>1.2012601652766701</v>
      </c>
      <c r="G37">
        <f t="shared" si="6"/>
        <v>1125.4674147793191</v>
      </c>
      <c r="H37">
        <f t="shared" si="7"/>
        <v>160.53258522068086</v>
      </c>
    </row>
    <row r="38" spans="1:8" x14ac:dyDescent="0.3">
      <c r="B38" s="2">
        <v>44044</v>
      </c>
      <c r="C38" s="3">
        <v>1375</v>
      </c>
      <c r="D38">
        <f t="shared" si="3"/>
        <v>1049.6730927337485</v>
      </c>
      <c r="E38">
        <f t="shared" si="4"/>
        <v>11.705916759856366</v>
      </c>
      <c r="F38">
        <f t="shared" si="5"/>
        <v>1.2877422313658609</v>
      </c>
      <c r="G38">
        <f t="shared" si="6"/>
        <v>1308.452487547605</v>
      </c>
      <c r="H38">
        <f t="shared" si="7"/>
        <v>66.54751245239504</v>
      </c>
    </row>
    <row r="39" spans="1:8" x14ac:dyDescent="0.3">
      <c r="B39" s="2">
        <v>44075</v>
      </c>
      <c r="C39" s="3">
        <v>834</v>
      </c>
      <c r="D39">
        <f t="shared" si="3"/>
        <v>984.33999417140353</v>
      </c>
      <c r="E39">
        <f t="shared" si="4"/>
        <v>4.0020152276362335</v>
      </c>
      <c r="F39">
        <f t="shared" si="5"/>
        <v>0.94191546720296304</v>
      </c>
      <c r="G39">
        <f t="shared" si="6"/>
        <v>1100.1859014186273</v>
      </c>
      <c r="H39">
        <f t="shared" si="7"/>
        <v>-266.18590141862728</v>
      </c>
    </row>
    <row r="40" spans="1:8" x14ac:dyDescent="0.3">
      <c r="B40" s="2">
        <v>44105</v>
      </c>
      <c r="C40" s="3">
        <v>888</v>
      </c>
      <c r="D40">
        <f t="shared" si="3"/>
        <v>981.11688297644469</v>
      </c>
      <c r="E40">
        <f t="shared" si="4"/>
        <v>3.2795025853767257</v>
      </c>
      <c r="F40">
        <f t="shared" si="5"/>
        <v>0.91300302578458314</v>
      </c>
      <c r="G40">
        <f t="shared" si="6"/>
        <v>910.17909373095051</v>
      </c>
      <c r="H40">
        <f t="shared" si="7"/>
        <v>-22.179093730950513</v>
      </c>
    </row>
    <row r="41" spans="1:8" x14ac:dyDescent="0.3">
      <c r="B41" s="2">
        <v>44136</v>
      </c>
      <c r="C41" s="3">
        <v>701</v>
      </c>
      <c r="D41">
        <f t="shared" si="3"/>
        <v>955.11073451732182</v>
      </c>
      <c r="E41">
        <f t="shared" si="4"/>
        <v>0.35093748092676602</v>
      </c>
      <c r="F41">
        <f t="shared" si="5"/>
        <v>0.76222447913191704</v>
      </c>
      <c r="G41">
        <f t="shared" si="6"/>
        <v>778.16794894505256</v>
      </c>
      <c r="H41">
        <f t="shared" si="7"/>
        <v>-77.167948945052558</v>
      </c>
    </row>
    <row r="42" spans="1:8" x14ac:dyDescent="0.3">
      <c r="B42" s="2">
        <v>44166</v>
      </c>
      <c r="C42" s="3">
        <v>421</v>
      </c>
      <c r="D42">
        <f t="shared" si="3"/>
        <v>843.9995649241589</v>
      </c>
      <c r="E42">
        <f t="shared" si="4"/>
        <v>-10.795273226482202</v>
      </c>
      <c r="F42">
        <f t="shared" si="5"/>
        <v>0.60990148791427989</v>
      </c>
      <c r="G42">
        <f t="shared" si="6"/>
        <v>688.8759727035698</v>
      </c>
      <c r="H42">
        <f t="shared" si="7"/>
        <v>-267.8759727035698</v>
      </c>
    </row>
    <row r="43" spans="1:8" x14ac:dyDescent="0.3">
      <c r="A43">
        <v>1</v>
      </c>
      <c r="B43" s="2">
        <v>44197</v>
      </c>
      <c r="G43">
        <f>($D$42+$E$42*A43)*F31</f>
        <v>444.55465559989608</v>
      </c>
    </row>
    <row r="44" spans="1:8" x14ac:dyDescent="0.3">
      <c r="A44">
        <v>2</v>
      </c>
      <c r="B44" s="2">
        <v>44228</v>
      </c>
      <c r="G44">
        <f t="shared" ref="G44:G54" si="8">($D$42+$E$42*A44)*F32</f>
        <v>608.4847017190715</v>
      </c>
    </row>
    <row r="45" spans="1:8" x14ac:dyDescent="0.3">
      <c r="A45">
        <v>3</v>
      </c>
      <c r="B45" s="2">
        <v>44256</v>
      </c>
      <c r="G45">
        <f t="shared" si="8"/>
        <v>646.23468166098121</v>
      </c>
    </row>
    <row r="46" spans="1:8" x14ac:dyDescent="0.3">
      <c r="A46">
        <v>4</v>
      </c>
      <c r="B46" s="2">
        <v>44287</v>
      </c>
      <c r="G46">
        <f t="shared" si="8"/>
        <v>845.42566076907406</v>
      </c>
    </row>
    <row r="47" spans="1:8" x14ac:dyDescent="0.3">
      <c r="A47">
        <v>5</v>
      </c>
      <c r="B47" s="2">
        <v>44317</v>
      </c>
      <c r="G47">
        <f t="shared" si="8"/>
        <v>856.3371263134153</v>
      </c>
    </row>
    <row r="48" spans="1:8" x14ac:dyDescent="0.3">
      <c r="A48">
        <v>6</v>
      </c>
      <c r="B48" s="2">
        <v>44348</v>
      </c>
      <c r="G48">
        <f t="shared" si="8"/>
        <v>1162.0989544463387</v>
      </c>
    </row>
    <row r="49" spans="1:7" x14ac:dyDescent="0.3">
      <c r="A49">
        <v>7</v>
      </c>
      <c r="B49" s="2">
        <v>44378</v>
      </c>
      <c r="G49">
        <f t="shared" si="8"/>
        <v>923.08753495247709</v>
      </c>
    </row>
    <row r="50" spans="1:7" x14ac:dyDescent="0.3">
      <c r="A50">
        <v>8</v>
      </c>
      <c r="B50" s="2">
        <v>44409</v>
      </c>
      <c r="G50">
        <f t="shared" si="8"/>
        <v>975.64164914425749</v>
      </c>
    </row>
    <row r="51" spans="1:7" x14ac:dyDescent="0.3">
      <c r="A51">
        <v>9</v>
      </c>
      <c r="B51" s="2">
        <v>44440</v>
      </c>
      <c r="G51">
        <f t="shared" si="8"/>
        <v>703.46213109228609</v>
      </c>
    </row>
    <row r="52" spans="1:7" x14ac:dyDescent="0.3">
      <c r="A52">
        <v>10</v>
      </c>
      <c r="B52" s="2">
        <v>44470</v>
      </c>
      <c r="G52">
        <f t="shared" si="8"/>
        <v>672.01298533713339</v>
      </c>
    </row>
    <row r="53" spans="1:7" x14ac:dyDescent="0.3">
      <c r="A53">
        <v>11</v>
      </c>
      <c r="B53" s="2">
        <v>44501</v>
      </c>
      <c r="G53">
        <f t="shared" si="8"/>
        <v>552.80449212831832</v>
      </c>
    </row>
    <row r="54" spans="1:7" x14ac:dyDescent="0.3">
      <c r="A54">
        <v>12</v>
      </c>
      <c r="B54" s="2">
        <v>44531</v>
      </c>
      <c r="G54">
        <f t="shared" si="8"/>
        <v>435.74795200697719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BF85-E0D3-4A12-9BF1-5E889F2D68F2}">
  <dimension ref="A1:R54"/>
  <sheetViews>
    <sheetView tabSelected="1" zoomScale="72" workbookViewId="0">
      <selection activeCell="K15" sqref="K15"/>
    </sheetView>
  </sheetViews>
  <sheetFormatPr defaultRowHeight="14.4" x14ac:dyDescent="0.3"/>
  <cols>
    <col min="6" max="6" width="22.6640625" customWidth="1"/>
  </cols>
  <sheetData>
    <row r="1" spans="2:18" x14ac:dyDescent="0.3">
      <c r="B1" t="s">
        <v>0</v>
      </c>
      <c r="C1">
        <v>5026231131</v>
      </c>
      <c r="E1" t="s">
        <v>6</v>
      </c>
      <c r="F1" t="s">
        <v>7</v>
      </c>
    </row>
    <row r="3" spans="2:18" x14ac:dyDescent="0.3">
      <c r="B3" t="s">
        <v>1</v>
      </c>
      <c r="C3">
        <v>0.3</v>
      </c>
    </row>
    <row r="4" spans="2:18" x14ac:dyDescent="0.3">
      <c r="B4" t="s">
        <v>2</v>
      </c>
      <c r="C4">
        <v>0.1</v>
      </c>
    </row>
    <row r="5" spans="2:18" x14ac:dyDescent="0.3">
      <c r="B5" t="s">
        <v>3</v>
      </c>
      <c r="C5">
        <v>0.5</v>
      </c>
    </row>
    <row r="6" spans="2:18" ht="43.2" x14ac:dyDescent="0.3">
      <c r="B6" s="1" t="s">
        <v>4</v>
      </c>
      <c r="C6" s="1" t="s">
        <v>5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O6" t="s">
        <v>13</v>
      </c>
      <c r="P6" t="s">
        <v>14</v>
      </c>
      <c r="Q6" t="s">
        <v>15</v>
      </c>
      <c r="R6" t="s">
        <v>16</v>
      </c>
    </row>
    <row r="7" spans="2:18" x14ac:dyDescent="0.3">
      <c r="B7" s="2">
        <v>43101</v>
      </c>
      <c r="C7" s="3">
        <v>331</v>
      </c>
      <c r="F7">
        <f>C7-$D$18</f>
        <v>-389.75</v>
      </c>
      <c r="O7" s="3">
        <v>331</v>
      </c>
      <c r="P7" s="3">
        <v>606</v>
      </c>
      <c r="Q7">
        <f>P7-O7</f>
        <v>275</v>
      </c>
      <c r="R7">
        <f>Q7/12</f>
        <v>22.916666666666668</v>
      </c>
    </row>
    <row r="8" spans="2:18" x14ac:dyDescent="0.3">
      <c r="B8" s="2">
        <v>43132</v>
      </c>
      <c r="C8" s="3">
        <v>499</v>
      </c>
      <c r="F8">
        <f t="shared" ref="F8:F18" si="0">C8-$D$18</f>
        <v>-221.75</v>
      </c>
      <c r="O8" s="3">
        <v>499</v>
      </c>
      <c r="P8" s="3">
        <v>626</v>
      </c>
      <c r="Q8">
        <f t="shared" ref="Q8:Q18" si="1">P8-O8</f>
        <v>127</v>
      </c>
      <c r="R8">
        <f t="shared" ref="R8:R18" si="2">Q8/12</f>
        <v>10.583333333333334</v>
      </c>
    </row>
    <row r="9" spans="2:18" x14ac:dyDescent="0.3">
      <c r="B9" s="2">
        <v>43160</v>
      </c>
      <c r="C9" s="3">
        <v>716</v>
      </c>
      <c r="F9">
        <f t="shared" si="0"/>
        <v>-4.75</v>
      </c>
      <c r="O9" s="3">
        <v>716</v>
      </c>
      <c r="P9" s="3">
        <v>723</v>
      </c>
      <c r="Q9">
        <f t="shared" si="1"/>
        <v>7</v>
      </c>
      <c r="R9">
        <f t="shared" si="2"/>
        <v>0.58333333333333337</v>
      </c>
    </row>
    <row r="10" spans="2:18" x14ac:dyDescent="0.3">
      <c r="B10" s="2">
        <v>43191</v>
      </c>
      <c r="C10" s="3">
        <v>787</v>
      </c>
      <c r="F10">
        <f t="shared" si="0"/>
        <v>66.25</v>
      </c>
      <c r="O10" s="3">
        <v>787</v>
      </c>
      <c r="P10" s="3">
        <v>886</v>
      </c>
      <c r="Q10">
        <f t="shared" si="1"/>
        <v>99</v>
      </c>
      <c r="R10">
        <f t="shared" si="2"/>
        <v>8.25</v>
      </c>
    </row>
    <row r="11" spans="2:18" x14ac:dyDescent="0.3">
      <c r="B11" s="2">
        <v>43221</v>
      </c>
      <c r="C11" s="3">
        <v>795</v>
      </c>
      <c r="F11">
        <f t="shared" si="0"/>
        <v>74.25</v>
      </c>
      <c r="O11" s="3">
        <v>795</v>
      </c>
      <c r="P11" s="3">
        <v>1042</v>
      </c>
      <c r="Q11">
        <f t="shared" si="1"/>
        <v>247</v>
      </c>
      <c r="R11">
        <f t="shared" si="2"/>
        <v>20.583333333333332</v>
      </c>
    </row>
    <row r="12" spans="2:18" x14ac:dyDescent="0.3">
      <c r="B12" s="2">
        <v>43252</v>
      </c>
      <c r="C12" s="3">
        <v>1205</v>
      </c>
      <c r="F12">
        <f t="shared" si="0"/>
        <v>484.25</v>
      </c>
      <c r="O12" s="3">
        <v>1205</v>
      </c>
      <c r="P12" s="3">
        <v>1446</v>
      </c>
      <c r="Q12">
        <f t="shared" si="1"/>
        <v>241</v>
      </c>
      <c r="R12">
        <f t="shared" si="2"/>
        <v>20.083333333333332</v>
      </c>
    </row>
    <row r="13" spans="2:18" x14ac:dyDescent="0.3">
      <c r="B13" s="2">
        <v>43282</v>
      </c>
      <c r="C13" s="3">
        <v>949</v>
      </c>
      <c r="F13">
        <f t="shared" si="0"/>
        <v>228.25</v>
      </c>
      <c r="O13" s="3">
        <v>949</v>
      </c>
      <c r="P13" s="3">
        <v>821</v>
      </c>
      <c r="Q13">
        <f t="shared" si="1"/>
        <v>-128</v>
      </c>
      <c r="R13">
        <f t="shared" si="2"/>
        <v>-10.666666666666666</v>
      </c>
    </row>
    <row r="14" spans="2:18" x14ac:dyDescent="0.3">
      <c r="B14" s="2">
        <v>43313</v>
      </c>
      <c r="C14" s="3">
        <v>869</v>
      </c>
      <c r="F14">
        <f t="shared" si="0"/>
        <v>148.25</v>
      </c>
      <c r="O14" s="3">
        <v>869</v>
      </c>
      <c r="P14" s="3">
        <v>1178</v>
      </c>
      <c r="Q14">
        <f t="shared" si="1"/>
        <v>309</v>
      </c>
      <c r="R14">
        <f t="shared" si="2"/>
        <v>25.75</v>
      </c>
    </row>
    <row r="15" spans="2:18" x14ac:dyDescent="0.3">
      <c r="B15" s="2">
        <v>43344</v>
      </c>
      <c r="C15" s="3">
        <v>716</v>
      </c>
      <c r="F15">
        <f t="shared" si="0"/>
        <v>-4.75</v>
      </c>
      <c r="O15" s="3">
        <v>716</v>
      </c>
      <c r="P15" s="3">
        <v>1012</v>
      </c>
      <c r="Q15">
        <f t="shared" si="1"/>
        <v>296</v>
      </c>
      <c r="R15">
        <f t="shared" si="2"/>
        <v>24.666666666666668</v>
      </c>
    </row>
    <row r="16" spans="2:18" x14ac:dyDescent="0.3">
      <c r="B16" s="2">
        <v>43374</v>
      </c>
      <c r="C16" s="3">
        <v>787</v>
      </c>
      <c r="F16">
        <f t="shared" si="0"/>
        <v>66.25</v>
      </c>
      <c r="O16" s="3">
        <v>787</v>
      </c>
      <c r="P16" s="3">
        <v>631</v>
      </c>
      <c r="Q16">
        <f t="shared" si="1"/>
        <v>-156</v>
      </c>
      <c r="R16">
        <f t="shared" si="2"/>
        <v>-13</v>
      </c>
    </row>
    <row r="17" spans="2:18" x14ac:dyDescent="0.3">
      <c r="B17" s="2">
        <v>43405</v>
      </c>
      <c r="C17" s="3">
        <v>493</v>
      </c>
      <c r="F17">
        <f t="shared" si="0"/>
        <v>-227.75</v>
      </c>
      <c r="O17" s="3">
        <v>493</v>
      </c>
      <c r="P17" s="3">
        <v>877</v>
      </c>
      <c r="Q17">
        <f t="shared" si="1"/>
        <v>384</v>
      </c>
      <c r="R17">
        <f t="shared" si="2"/>
        <v>32</v>
      </c>
    </row>
    <row r="18" spans="2:18" x14ac:dyDescent="0.3">
      <c r="B18" s="2">
        <v>43435</v>
      </c>
      <c r="C18" s="3">
        <v>502</v>
      </c>
      <c r="D18">
        <f>AVERAGE(C7:C18)</f>
        <v>720.75</v>
      </c>
      <c r="E18">
        <f>R19</f>
        <v>13.645833333333334</v>
      </c>
      <c r="F18">
        <f t="shared" si="0"/>
        <v>-218.75</v>
      </c>
      <c r="O18" s="3">
        <v>502</v>
      </c>
      <c r="P18" s="3">
        <v>766</v>
      </c>
      <c r="Q18">
        <f t="shared" si="1"/>
        <v>264</v>
      </c>
      <c r="R18">
        <f t="shared" si="2"/>
        <v>22</v>
      </c>
    </row>
    <row r="19" spans="2:18" x14ac:dyDescent="0.3">
      <c r="B19" s="2">
        <v>43466</v>
      </c>
      <c r="C19" s="3">
        <v>606</v>
      </c>
      <c r="D19">
        <f>$C$3*(C19-F7)+(1-$C$3)*(D18+E18)</f>
        <v>812.80208333333326</v>
      </c>
      <c r="E19">
        <f>$C$4*(D19-D18)+(1-$C$4)*E18</f>
        <v>21.486458333333324</v>
      </c>
      <c r="F19">
        <f>$C$5*(C19-D19)+(1-$C$5)*F7</f>
        <v>-298.27604166666663</v>
      </c>
      <c r="G19">
        <f>(D18+E18+F7)</f>
        <v>344.64583333333337</v>
      </c>
      <c r="H19">
        <f>C19-G19</f>
        <v>261.35416666666663</v>
      </c>
      <c r="Q19" t="s">
        <v>17</v>
      </c>
      <c r="R19">
        <f>SUM(R7:R18)/12</f>
        <v>13.645833333333334</v>
      </c>
    </row>
    <row r="20" spans="2:18" x14ac:dyDescent="0.3">
      <c r="B20" s="2">
        <v>43497</v>
      </c>
      <c r="C20" s="3">
        <v>626</v>
      </c>
      <c r="D20">
        <f t="shared" ref="D20:D42" si="3">$C$3*(C20-F8)+(1-$C$3)*(D19+E19)</f>
        <v>838.32697916666643</v>
      </c>
      <c r="E20">
        <f t="shared" ref="E20:E42" si="4">$C$4*(D20-D19)+(1-$C$4)*E19</f>
        <v>21.89030208333331</v>
      </c>
      <c r="F20">
        <f t="shared" ref="F20:F42" si="5">$C$5*(C20-D20)+(1-$C$5)*F8</f>
        <v>-217.03848958333322</v>
      </c>
      <c r="G20">
        <f t="shared" ref="G20:G42" si="6">(D19+E19+F8)</f>
        <v>612.53854166666656</v>
      </c>
      <c r="H20">
        <f t="shared" ref="H20:H42" si="7">C20-G20</f>
        <v>13.461458333333439</v>
      </c>
    </row>
    <row r="21" spans="2:18" x14ac:dyDescent="0.3">
      <c r="B21" s="2">
        <v>43525</v>
      </c>
      <c r="C21" s="3">
        <v>723</v>
      </c>
      <c r="D21">
        <f t="shared" si="3"/>
        <v>820.47709687499969</v>
      </c>
      <c r="E21">
        <f t="shared" si="4"/>
        <v>17.916283645833303</v>
      </c>
      <c r="F21">
        <f t="shared" si="5"/>
        <v>-51.113548437499844</v>
      </c>
      <c r="G21">
        <f t="shared" si="6"/>
        <v>855.4672812499997</v>
      </c>
      <c r="H21">
        <f t="shared" si="7"/>
        <v>-132.4672812499997</v>
      </c>
    </row>
    <row r="22" spans="2:18" x14ac:dyDescent="0.3">
      <c r="B22" s="2">
        <v>43556</v>
      </c>
      <c r="C22" s="3">
        <v>886</v>
      </c>
      <c r="D22">
        <f t="shared" si="3"/>
        <v>832.80036636458306</v>
      </c>
      <c r="E22">
        <f t="shared" si="4"/>
        <v>17.356982230208313</v>
      </c>
      <c r="F22">
        <f t="shared" si="5"/>
        <v>59.724816817708472</v>
      </c>
      <c r="G22">
        <f t="shared" si="6"/>
        <v>904.64338052083303</v>
      </c>
      <c r="H22">
        <f t="shared" si="7"/>
        <v>-18.643380520833034</v>
      </c>
    </row>
    <row r="23" spans="2:18" x14ac:dyDescent="0.3">
      <c r="B23" s="2">
        <v>43586</v>
      </c>
      <c r="C23" s="3">
        <v>1042</v>
      </c>
      <c r="D23">
        <f t="shared" si="3"/>
        <v>885.43514401635389</v>
      </c>
      <c r="E23">
        <f t="shared" si="4"/>
        <v>20.884761772364566</v>
      </c>
      <c r="F23">
        <f t="shared" si="5"/>
        <v>115.40742799182306</v>
      </c>
      <c r="G23">
        <f t="shared" si="6"/>
        <v>924.40734859479142</v>
      </c>
      <c r="H23">
        <f t="shared" si="7"/>
        <v>117.59265140520858</v>
      </c>
    </row>
    <row r="24" spans="2:18" x14ac:dyDescent="0.3">
      <c r="B24" s="2">
        <v>43617</v>
      </c>
      <c r="C24" s="3">
        <v>1446</v>
      </c>
      <c r="D24">
        <f t="shared" si="3"/>
        <v>922.9489340521028</v>
      </c>
      <c r="E24">
        <f t="shared" si="4"/>
        <v>22.547664598703001</v>
      </c>
      <c r="F24">
        <f t="shared" si="5"/>
        <v>503.6505329739486</v>
      </c>
      <c r="G24">
        <f t="shared" si="6"/>
        <v>1390.5699057887184</v>
      </c>
      <c r="H24">
        <f t="shared" si="7"/>
        <v>55.430094211281585</v>
      </c>
    </row>
    <row r="25" spans="2:18" x14ac:dyDescent="0.3">
      <c r="B25" s="2">
        <v>43647</v>
      </c>
      <c r="C25" s="3">
        <v>821</v>
      </c>
      <c r="D25">
        <f t="shared" si="3"/>
        <v>839.67261905556393</v>
      </c>
      <c r="E25">
        <f t="shared" si="4"/>
        <v>11.965266639178813</v>
      </c>
      <c r="F25">
        <f t="shared" si="5"/>
        <v>104.78869047221804</v>
      </c>
      <c r="G25">
        <f t="shared" si="6"/>
        <v>1173.7465986508059</v>
      </c>
      <c r="H25">
        <f t="shared" si="7"/>
        <v>-352.74659865080594</v>
      </c>
    </row>
    <row r="26" spans="2:18" x14ac:dyDescent="0.3">
      <c r="B26" s="2">
        <v>43678</v>
      </c>
      <c r="C26" s="3">
        <v>1178</v>
      </c>
      <c r="D26">
        <f t="shared" si="3"/>
        <v>905.0715199863198</v>
      </c>
      <c r="E26">
        <f t="shared" si="4"/>
        <v>17.30863006833652</v>
      </c>
      <c r="F26">
        <f t="shared" si="5"/>
        <v>210.5892400068401</v>
      </c>
      <c r="G26">
        <f t="shared" si="6"/>
        <v>999.88788569474275</v>
      </c>
      <c r="H26">
        <f t="shared" si="7"/>
        <v>178.11211430525725</v>
      </c>
    </row>
    <row r="27" spans="2:18" x14ac:dyDescent="0.3">
      <c r="B27" s="2">
        <v>43709</v>
      </c>
      <c r="C27" s="3">
        <v>1012</v>
      </c>
      <c r="D27">
        <f t="shared" si="3"/>
        <v>950.69110503825937</v>
      </c>
      <c r="E27">
        <f t="shared" si="4"/>
        <v>20.139725566696825</v>
      </c>
      <c r="F27">
        <f t="shared" si="5"/>
        <v>28.279447480870317</v>
      </c>
      <c r="G27">
        <f t="shared" si="6"/>
        <v>917.63015005465627</v>
      </c>
      <c r="H27">
        <f t="shared" si="7"/>
        <v>94.369849945343731</v>
      </c>
    </row>
    <row r="28" spans="2:18" x14ac:dyDescent="0.3">
      <c r="B28" s="2">
        <v>43739</v>
      </c>
      <c r="C28" s="3">
        <v>631</v>
      </c>
      <c r="D28">
        <f t="shared" si="3"/>
        <v>849.00658142346924</v>
      </c>
      <c r="E28">
        <f t="shared" si="4"/>
        <v>7.9573006485481308</v>
      </c>
      <c r="F28">
        <f t="shared" si="5"/>
        <v>-75.878290711734621</v>
      </c>
      <c r="G28">
        <f t="shared" si="6"/>
        <v>1037.0808306049562</v>
      </c>
      <c r="H28">
        <f t="shared" si="7"/>
        <v>-406.08083060495619</v>
      </c>
    </row>
    <row r="29" spans="2:18" x14ac:dyDescent="0.3">
      <c r="B29" s="2">
        <v>43770</v>
      </c>
      <c r="C29" s="3">
        <v>877</v>
      </c>
      <c r="D29">
        <f t="shared" si="3"/>
        <v>931.29971745041212</v>
      </c>
      <c r="E29">
        <f t="shared" si="4"/>
        <v>15.390884186387606</v>
      </c>
      <c r="F29">
        <f t="shared" si="5"/>
        <v>-141.02485872520606</v>
      </c>
      <c r="G29">
        <f t="shared" si="6"/>
        <v>629.21388207201733</v>
      </c>
      <c r="H29">
        <f t="shared" si="7"/>
        <v>247.78611792798267</v>
      </c>
    </row>
    <row r="30" spans="2:18" x14ac:dyDescent="0.3">
      <c r="B30" s="2">
        <v>43800</v>
      </c>
      <c r="C30" s="3">
        <v>766</v>
      </c>
      <c r="D30">
        <f t="shared" si="3"/>
        <v>958.10842114575985</v>
      </c>
      <c r="E30">
        <f t="shared" si="4"/>
        <v>16.53266613728362</v>
      </c>
      <c r="F30">
        <f t="shared" si="5"/>
        <v>-205.42921057287992</v>
      </c>
      <c r="G30">
        <f t="shared" si="6"/>
        <v>727.94060163679967</v>
      </c>
      <c r="H30">
        <f t="shared" si="7"/>
        <v>38.05939836320033</v>
      </c>
    </row>
    <row r="31" spans="2:18" x14ac:dyDescent="0.3">
      <c r="B31" s="2">
        <v>43831</v>
      </c>
      <c r="C31" s="3">
        <v>507</v>
      </c>
      <c r="D31">
        <f t="shared" si="3"/>
        <v>923.83157359813049</v>
      </c>
      <c r="E31">
        <f t="shared" si="4"/>
        <v>11.451714768792323</v>
      </c>
      <c r="F31">
        <f t="shared" si="5"/>
        <v>-357.55380763239856</v>
      </c>
      <c r="G31">
        <f t="shared" si="6"/>
        <v>676.36504561637685</v>
      </c>
      <c r="H31">
        <f t="shared" si="7"/>
        <v>-169.36504561637685</v>
      </c>
    </row>
    <row r="32" spans="2:18" x14ac:dyDescent="0.3">
      <c r="B32" s="2">
        <v>43862</v>
      </c>
      <c r="C32" s="3">
        <v>878</v>
      </c>
      <c r="D32">
        <f t="shared" si="3"/>
        <v>983.2098487318458</v>
      </c>
      <c r="E32">
        <f t="shared" si="4"/>
        <v>16.244370805284621</v>
      </c>
      <c r="F32">
        <f t="shared" si="5"/>
        <v>-161.12416915758951</v>
      </c>
      <c r="G32">
        <f t="shared" si="6"/>
        <v>718.24479878358954</v>
      </c>
      <c r="H32">
        <f t="shared" si="7"/>
        <v>159.75520121641046</v>
      </c>
    </row>
    <row r="33" spans="1:8" x14ac:dyDescent="0.3">
      <c r="B33" s="2">
        <v>43891</v>
      </c>
      <c r="C33" s="3">
        <v>706</v>
      </c>
      <c r="D33">
        <f t="shared" si="3"/>
        <v>926.75201820724112</v>
      </c>
      <c r="E33">
        <f t="shared" si="4"/>
        <v>8.974150672295691</v>
      </c>
      <c r="F33">
        <f t="shared" si="5"/>
        <v>-135.93278332237048</v>
      </c>
      <c r="G33">
        <f t="shared" si="6"/>
        <v>948.34067109963053</v>
      </c>
      <c r="H33">
        <f t="shared" si="7"/>
        <v>-242.34067109963053</v>
      </c>
    </row>
    <row r="34" spans="1:8" x14ac:dyDescent="0.3">
      <c r="B34" s="2">
        <v>43922</v>
      </c>
      <c r="C34" s="3">
        <v>1112</v>
      </c>
      <c r="D34">
        <f t="shared" si="3"/>
        <v>970.69087317036315</v>
      </c>
      <c r="E34">
        <f t="shared" si="4"/>
        <v>12.470621101378326</v>
      </c>
      <c r="F34">
        <f t="shared" si="5"/>
        <v>100.51697182367266</v>
      </c>
      <c r="G34">
        <f t="shared" si="6"/>
        <v>995.45098569724519</v>
      </c>
      <c r="H34">
        <f t="shared" si="7"/>
        <v>116.54901430275481</v>
      </c>
    </row>
    <row r="35" spans="1:8" x14ac:dyDescent="0.3">
      <c r="B35" s="2">
        <v>43952</v>
      </c>
      <c r="C35" s="3">
        <v>1081</v>
      </c>
      <c r="D35">
        <f t="shared" si="3"/>
        <v>977.89081759267208</v>
      </c>
      <c r="E35">
        <f t="shared" si="4"/>
        <v>11.943553433471386</v>
      </c>
      <c r="F35">
        <f t="shared" si="5"/>
        <v>109.25830519957549</v>
      </c>
      <c r="G35">
        <f t="shared" si="6"/>
        <v>1098.5689222635647</v>
      </c>
      <c r="H35">
        <f t="shared" si="7"/>
        <v>-17.568922263564673</v>
      </c>
    </row>
    <row r="36" spans="1:8" x14ac:dyDescent="0.3">
      <c r="B36" s="2">
        <v>43983</v>
      </c>
      <c r="C36" s="3">
        <v>1324</v>
      </c>
      <c r="D36">
        <f t="shared" si="3"/>
        <v>938.98889982611581</v>
      </c>
      <c r="E36">
        <f t="shared" si="4"/>
        <v>6.8590063134686208</v>
      </c>
      <c r="F36">
        <f t="shared" si="5"/>
        <v>444.33081657391642</v>
      </c>
      <c r="G36">
        <f t="shared" si="6"/>
        <v>1493.484904000092</v>
      </c>
      <c r="H36">
        <f t="shared" si="7"/>
        <v>-169.484904000092</v>
      </c>
    </row>
    <row r="37" spans="1:8" x14ac:dyDescent="0.3">
      <c r="B37" s="2">
        <v>44013</v>
      </c>
      <c r="C37" s="3">
        <v>1286</v>
      </c>
      <c r="D37">
        <f t="shared" si="3"/>
        <v>1016.4569271560435</v>
      </c>
      <c r="E37">
        <f t="shared" si="4"/>
        <v>13.919908415114532</v>
      </c>
      <c r="F37">
        <f t="shared" si="5"/>
        <v>187.16588165808724</v>
      </c>
      <c r="G37">
        <f t="shared" si="6"/>
        <v>1050.6365966118024</v>
      </c>
      <c r="H37">
        <f t="shared" si="7"/>
        <v>235.36340338819764</v>
      </c>
    </row>
    <row r="38" spans="1:8" x14ac:dyDescent="0.3">
      <c r="B38" s="2">
        <v>44044</v>
      </c>
      <c r="C38" s="3">
        <v>1375</v>
      </c>
      <c r="D38">
        <f t="shared" si="3"/>
        <v>1070.5870128977585</v>
      </c>
      <c r="E38">
        <f t="shared" si="4"/>
        <v>17.940926147774579</v>
      </c>
      <c r="F38">
        <f t="shared" si="5"/>
        <v>257.50111355454078</v>
      </c>
      <c r="G38">
        <f t="shared" si="6"/>
        <v>1240.9660755779983</v>
      </c>
      <c r="H38">
        <f t="shared" si="7"/>
        <v>134.03392442200175</v>
      </c>
    </row>
    <row r="39" spans="1:8" x14ac:dyDescent="0.3">
      <c r="B39" s="2">
        <v>44075</v>
      </c>
      <c r="C39" s="3">
        <v>834</v>
      </c>
      <c r="D39">
        <f t="shared" si="3"/>
        <v>1003.6857230876121</v>
      </c>
      <c r="E39">
        <f t="shared" si="4"/>
        <v>9.4567045519824795</v>
      </c>
      <c r="F39">
        <f t="shared" si="5"/>
        <v>-70.703137803370907</v>
      </c>
      <c r="G39">
        <f t="shared" si="6"/>
        <v>1116.8073865264037</v>
      </c>
      <c r="H39">
        <f t="shared" si="7"/>
        <v>-282.80738652640366</v>
      </c>
    </row>
    <row r="40" spans="1:8" x14ac:dyDescent="0.3">
      <c r="B40" s="2">
        <v>44105</v>
      </c>
      <c r="C40" s="3">
        <v>888</v>
      </c>
      <c r="D40">
        <f t="shared" si="3"/>
        <v>998.3631865612366</v>
      </c>
      <c r="E40">
        <f t="shared" si="4"/>
        <v>7.9787804441466799</v>
      </c>
      <c r="F40">
        <f t="shared" si="5"/>
        <v>-93.120738636485612</v>
      </c>
      <c r="G40">
        <f t="shared" si="6"/>
        <v>937.26413692786002</v>
      </c>
      <c r="H40">
        <f t="shared" si="7"/>
        <v>-49.264136927860022</v>
      </c>
    </row>
    <row r="41" spans="1:8" x14ac:dyDescent="0.3">
      <c r="B41" s="2">
        <v>44136</v>
      </c>
      <c r="C41" s="3">
        <v>701</v>
      </c>
      <c r="D41">
        <f t="shared" si="3"/>
        <v>957.04683452133008</v>
      </c>
      <c r="E41">
        <f t="shared" si="4"/>
        <v>3.0492671957413595</v>
      </c>
      <c r="F41">
        <f t="shared" si="5"/>
        <v>-198.53584662326807</v>
      </c>
      <c r="G41">
        <f t="shared" si="6"/>
        <v>865.31710828017719</v>
      </c>
      <c r="H41">
        <f t="shared" si="7"/>
        <v>-164.31710828017719</v>
      </c>
    </row>
    <row r="42" spans="1:8" x14ac:dyDescent="0.3">
      <c r="B42" s="2">
        <v>44166</v>
      </c>
      <c r="C42" s="3">
        <v>421</v>
      </c>
      <c r="D42">
        <f t="shared" si="3"/>
        <v>859.99603437381393</v>
      </c>
      <c r="E42">
        <f t="shared" si="4"/>
        <v>-6.9607395385843915</v>
      </c>
      <c r="F42">
        <f t="shared" si="5"/>
        <v>-322.21262247334693</v>
      </c>
      <c r="G42">
        <f t="shared" si="6"/>
        <v>754.66689114419148</v>
      </c>
      <c r="H42">
        <f t="shared" si="7"/>
        <v>-333.66689114419148</v>
      </c>
    </row>
    <row r="43" spans="1:8" x14ac:dyDescent="0.3">
      <c r="A43">
        <v>1</v>
      </c>
      <c r="B43" s="2">
        <v>44197</v>
      </c>
      <c r="G43">
        <f>($D$42+($E$42*A43)+F31)</f>
        <v>495.48148720283092</v>
      </c>
    </row>
    <row r="44" spans="1:8" x14ac:dyDescent="0.3">
      <c r="A44">
        <v>2</v>
      </c>
      <c r="B44" s="2">
        <v>44228</v>
      </c>
      <c r="G44">
        <f t="shared" ref="G44:G54" si="8">($D$42+($E$42*A44)+F32)</f>
        <v>684.95038613905558</v>
      </c>
    </row>
    <row r="45" spans="1:8" x14ac:dyDescent="0.3">
      <c r="A45">
        <v>3</v>
      </c>
      <c r="B45" s="2">
        <v>44256</v>
      </c>
      <c r="G45">
        <f t="shared" si="8"/>
        <v>703.18103243569033</v>
      </c>
    </row>
    <row r="46" spans="1:8" x14ac:dyDescent="0.3">
      <c r="A46">
        <v>4</v>
      </c>
      <c r="B46" s="2">
        <v>44287</v>
      </c>
      <c r="G46">
        <f t="shared" si="8"/>
        <v>932.670048043149</v>
      </c>
    </row>
    <row r="47" spans="1:8" x14ac:dyDescent="0.3">
      <c r="A47">
        <v>5</v>
      </c>
      <c r="B47" s="2">
        <v>44317</v>
      </c>
      <c r="G47">
        <f t="shared" si="8"/>
        <v>934.4506418804674</v>
      </c>
    </row>
    <row r="48" spans="1:8" x14ac:dyDescent="0.3">
      <c r="A48">
        <v>6</v>
      </c>
      <c r="B48" s="2">
        <v>44348</v>
      </c>
      <c r="G48">
        <f t="shared" si="8"/>
        <v>1262.562413716224</v>
      </c>
    </row>
    <row r="49" spans="1:7" x14ac:dyDescent="0.3">
      <c r="A49">
        <v>7</v>
      </c>
      <c r="B49" s="2">
        <v>44378</v>
      </c>
      <c r="G49">
        <f t="shared" si="8"/>
        <v>998.43673926181054</v>
      </c>
    </row>
    <row r="50" spans="1:7" x14ac:dyDescent="0.3">
      <c r="A50">
        <v>8</v>
      </c>
      <c r="B50" s="2">
        <v>44409</v>
      </c>
      <c r="G50">
        <f t="shared" si="8"/>
        <v>1061.8112316196796</v>
      </c>
    </row>
    <row r="51" spans="1:7" x14ac:dyDescent="0.3">
      <c r="A51">
        <v>9</v>
      </c>
      <c r="B51" s="2">
        <v>44440</v>
      </c>
      <c r="G51">
        <f t="shared" si="8"/>
        <v>726.64624072318338</v>
      </c>
    </row>
    <row r="52" spans="1:7" x14ac:dyDescent="0.3">
      <c r="A52">
        <v>10</v>
      </c>
      <c r="B52" s="2">
        <v>44470</v>
      </c>
      <c r="G52">
        <f t="shared" si="8"/>
        <v>697.2679003514844</v>
      </c>
    </row>
    <row r="53" spans="1:7" x14ac:dyDescent="0.3">
      <c r="A53">
        <v>11</v>
      </c>
      <c r="B53" s="2">
        <v>44501</v>
      </c>
      <c r="G53">
        <f t="shared" si="8"/>
        <v>584.89205282611761</v>
      </c>
    </row>
    <row r="54" spans="1:7" x14ac:dyDescent="0.3">
      <c r="A54">
        <v>12</v>
      </c>
      <c r="B54" s="2">
        <v>44531</v>
      </c>
      <c r="G54">
        <f t="shared" si="8"/>
        <v>454.2545374374543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 M</vt:lpstr>
      <vt:lpstr>TES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Riksakomara</dc:creator>
  <cp:lastModifiedBy>Davin Jonathan Tanus</cp:lastModifiedBy>
  <dcterms:created xsi:type="dcterms:W3CDTF">2015-06-05T18:17:20Z</dcterms:created>
  <dcterms:modified xsi:type="dcterms:W3CDTF">2025-04-10T08:21:56Z</dcterms:modified>
</cp:coreProperties>
</file>