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icle\Downloads\"/>
    </mc:Choice>
  </mc:AlternateContent>
  <xr:revisionPtr revIDLastSave="0" documentId="13_ncr:1_{391DB22F-66D1-48D7-88AE-64F1FA175A9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I29" i="1"/>
  <c r="I30" i="1"/>
  <c r="I31" i="1"/>
  <c r="I32" i="1"/>
  <c r="I33" i="1"/>
  <c r="I34" i="1"/>
  <c r="I35" i="1"/>
  <c r="I36" i="1"/>
  <c r="I37" i="1"/>
  <c r="I38" i="1"/>
  <c r="I27" i="1"/>
  <c r="H28" i="1"/>
  <c r="H29" i="1"/>
  <c r="H30" i="1"/>
  <c r="H31" i="1"/>
  <c r="H32" i="1"/>
  <c r="H33" i="1"/>
  <c r="H34" i="1"/>
  <c r="H35" i="1"/>
  <c r="H36" i="1"/>
  <c r="H37" i="1"/>
  <c r="H38" i="1"/>
  <c r="H27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15" i="1"/>
  <c r="E28" i="1"/>
  <c r="E29" i="1"/>
  <c r="E30" i="1"/>
  <c r="E31" i="1"/>
  <c r="E32" i="1"/>
  <c r="E33" i="1"/>
  <c r="E34" i="1"/>
  <c r="E35" i="1"/>
  <c r="E36" i="1"/>
  <c r="E37" i="1"/>
  <c r="E38" i="1"/>
  <c r="E27" i="1"/>
  <c r="D27" i="1"/>
  <c r="E16" i="1"/>
  <c r="E17" i="1"/>
  <c r="E18" i="1"/>
  <c r="E19" i="1"/>
  <c r="E20" i="1"/>
  <c r="E21" i="1"/>
  <c r="E22" i="1"/>
  <c r="E23" i="1"/>
  <c r="E24" i="1"/>
  <c r="E25" i="1"/>
  <c r="E26" i="1"/>
  <c r="E15" i="1"/>
  <c r="E4" i="1"/>
  <c r="E5" i="1"/>
  <c r="E6" i="1"/>
  <c r="E7" i="1"/>
  <c r="E8" i="1"/>
  <c r="E9" i="1"/>
  <c r="E10" i="1"/>
  <c r="E11" i="1"/>
  <c r="E12" i="1"/>
  <c r="E13" i="1"/>
  <c r="E14" i="1"/>
  <c r="E3" i="1"/>
  <c r="D15" i="1"/>
  <c r="D3" i="1"/>
</calcChain>
</file>

<file path=xl/sharedStrings.xml><?xml version="1.0" encoding="utf-8"?>
<sst xmlns="http://schemas.openxmlformats.org/spreadsheetml/2006/main" count="17" uniqueCount="14">
  <si>
    <t>Periode (t)</t>
  </si>
  <si>
    <t>Pembelian</t>
  </si>
  <si>
    <t>1yAVG</t>
  </si>
  <si>
    <t>1ySI</t>
  </si>
  <si>
    <t>2ySI</t>
  </si>
  <si>
    <t>AdjData</t>
  </si>
  <si>
    <t>Trend</t>
  </si>
  <si>
    <t>Forecast</t>
  </si>
  <si>
    <t>Centered MA</t>
  </si>
  <si>
    <t>Seasonal Relative</t>
  </si>
  <si>
    <t>Seasonal Index</t>
  </si>
  <si>
    <t>Trendline</t>
  </si>
  <si>
    <t>Deseasonelized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</si>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</sst>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0" fontId="0" fillId="0" borderId="0" xfId="0"/>
    <xf numFmtId="17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8"/>
  <sheetViews>
    <sheetView zoomScale="68" zoomScaleNormal="55" workbookViewId="0">
      <selection activeCell="H16" sqref="H16"/>
    </sheetView>
  </sheetViews>
  <sheetFormatPr defaultRowHeight="14.4" x14ac:dyDescent="0.3"/>
  <cols>
    <col min="2" max="2" width="10.33203125" customWidth="1"/>
    <col min="3" max="3" width="10.5546875" customWidth="1"/>
  </cols>
  <sheetData>
    <row r="2" spans="1:9" x14ac:dyDescent="0.3">
      <c r="B2" s="1" t="s">
        <v>0</v>
      </c>
      <c r="C2" s="1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9" x14ac:dyDescent="0.3">
      <c r="A3">
        <v>1</v>
      </c>
      <c r="B3" s="2">
        <v>44562</v>
      </c>
      <c r="C3">
        <v>120</v>
      </c>
      <c r="D3">
        <f>AVERAGE(C3:C14)</f>
        <v>155.41666666666666</v>
      </c>
      <c r="E3">
        <f>C3/$D$3</f>
        <v>0.77211796246648801</v>
      </c>
    </row>
    <row r="4" spans="1:9" x14ac:dyDescent="0.3">
      <c r="A4">
        <v>2</v>
      </c>
      <c r="B4" s="2">
        <v>44593</v>
      </c>
      <c r="C4">
        <v>130</v>
      </c>
      <c r="E4">
        <f t="shared" ref="E4:E14" si="0">C4/$D$3</f>
        <v>0.83646112600536193</v>
      </c>
    </row>
    <row r="5" spans="1:9" x14ac:dyDescent="0.3">
      <c r="A5">
        <v>3</v>
      </c>
      <c r="B5" s="2">
        <v>44621</v>
      </c>
      <c r="C5">
        <v>125</v>
      </c>
      <c r="E5">
        <f t="shared" si="0"/>
        <v>0.80428954423592502</v>
      </c>
    </row>
    <row r="6" spans="1:9" x14ac:dyDescent="0.3">
      <c r="A6">
        <v>4</v>
      </c>
      <c r="B6" s="2">
        <v>44652</v>
      </c>
      <c r="C6">
        <v>135</v>
      </c>
      <c r="E6">
        <f t="shared" si="0"/>
        <v>0.86863270777479895</v>
      </c>
    </row>
    <row r="7" spans="1:9" x14ac:dyDescent="0.3">
      <c r="A7">
        <v>5</v>
      </c>
      <c r="B7" s="2">
        <v>44682</v>
      </c>
      <c r="C7">
        <v>145</v>
      </c>
      <c r="E7">
        <f t="shared" si="0"/>
        <v>0.93297587131367299</v>
      </c>
    </row>
    <row r="8" spans="1:9" x14ac:dyDescent="0.3">
      <c r="A8">
        <v>6</v>
      </c>
      <c r="B8" s="2">
        <v>44713</v>
      </c>
      <c r="C8">
        <v>160</v>
      </c>
      <c r="E8">
        <f t="shared" si="0"/>
        <v>1.0294906166219839</v>
      </c>
    </row>
    <row r="9" spans="1:9" x14ac:dyDescent="0.3">
      <c r="A9">
        <v>7</v>
      </c>
      <c r="B9" s="2">
        <v>44743</v>
      </c>
      <c r="C9">
        <v>155</v>
      </c>
      <c r="E9">
        <f t="shared" si="0"/>
        <v>0.99731903485254703</v>
      </c>
    </row>
    <row r="10" spans="1:9" x14ac:dyDescent="0.3">
      <c r="A10">
        <v>8</v>
      </c>
      <c r="B10" s="2">
        <v>44774</v>
      </c>
      <c r="C10">
        <v>170</v>
      </c>
      <c r="E10">
        <f t="shared" si="0"/>
        <v>1.093833780160858</v>
      </c>
    </row>
    <row r="11" spans="1:9" x14ac:dyDescent="0.3">
      <c r="A11">
        <v>9</v>
      </c>
      <c r="B11" s="2">
        <v>44805</v>
      </c>
      <c r="C11">
        <v>180</v>
      </c>
      <c r="E11">
        <f t="shared" si="0"/>
        <v>1.158176943699732</v>
      </c>
    </row>
    <row r="12" spans="1:9" x14ac:dyDescent="0.3">
      <c r="A12">
        <v>10</v>
      </c>
      <c r="B12" s="2">
        <v>44835</v>
      </c>
      <c r="C12">
        <v>175</v>
      </c>
      <c r="E12">
        <f t="shared" si="0"/>
        <v>1.126005361930295</v>
      </c>
    </row>
    <row r="13" spans="1:9" x14ac:dyDescent="0.3">
      <c r="A13">
        <v>11</v>
      </c>
      <c r="B13" s="2">
        <v>44866</v>
      </c>
      <c r="C13">
        <v>180</v>
      </c>
      <c r="E13">
        <f t="shared" si="0"/>
        <v>1.158176943699732</v>
      </c>
    </row>
    <row r="14" spans="1:9" x14ac:dyDescent="0.3">
      <c r="A14">
        <v>12</v>
      </c>
      <c r="B14" s="2">
        <v>44896</v>
      </c>
      <c r="C14">
        <v>190</v>
      </c>
      <c r="E14">
        <f t="shared" si="0"/>
        <v>1.222520107238606</v>
      </c>
    </row>
    <row r="15" spans="1:9" x14ac:dyDescent="0.3">
      <c r="A15">
        <v>13</v>
      </c>
      <c r="B15" s="2">
        <v>44927</v>
      </c>
      <c r="C15">
        <v>185</v>
      </c>
      <c r="D15">
        <f>AVERAGE(C15:C26)</f>
        <v>226.25</v>
      </c>
      <c r="E15">
        <f>C15/$D$15</f>
        <v>0.81767955801104975</v>
      </c>
      <c r="F15">
        <f>(E3+E15)/2</f>
        <v>0.79489876023876893</v>
      </c>
      <c r="G15">
        <f>C15/F15</f>
        <v>232.73404017441209</v>
      </c>
    </row>
    <row r="16" spans="1:9" x14ac:dyDescent="0.3">
      <c r="A16">
        <v>14</v>
      </c>
      <c r="B16" s="2">
        <v>44958</v>
      </c>
      <c r="C16">
        <v>195</v>
      </c>
      <c r="E16">
        <f t="shared" ref="E16:E26" si="1">C16/$D$15</f>
        <v>0.86187845303867405</v>
      </c>
      <c r="F16">
        <f t="shared" ref="F16:F38" si="2">(E4+E16)/2</f>
        <v>0.84916978952201805</v>
      </c>
      <c r="G16">
        <f t="shared" ref="G16:G38" si="3">C16/F16</f>
        <v>229.63605442176868</v>
      </c>
    </row>
    <row r="17" spans="1:9" x14ac:dyDescent="0.3">
      <c r="A17">
        <v>15</v>
      </c>
      <c r="B17" s="2">
        <v>44986</v>
      </c>
      <c r="C17">
        <v>205</v>
      </c>
      <c r="E17">
        <f t="shared" si="1"/>
        <v>0.90607734806629836</v>
      </c>
      <c r="F17">
        <f t="shared" si="2"/>
        <v>0.85518344615111164</v>
      </c>
      <c r="G17">
        <f t="shared" si="3"/>
        <v>239.71464943882501</v>
      </c>
    </row>
    <row r="18" spans="1:9" x14ac:dyDescent="0.3">
      <c r="A18">
        <v>16</v>
      </c>
      <c r="B18" s="2">
        <v>45017</v>
      </c>
      <c r="C18">
        <v>220</v>
      </c>
      <c r="E18">
        <f t="shared" si="1"/>
        <v>0.97237569060773477</v>
      </c>
      <c r="F18">
        <f t="shared" si="2"/>
        <v>0.9205041991912668</v>
      </c>
      <c r="G18">
        <f t="shared" si="3"/>
        <v>238.99945290123259</v>
      </c>
    </row>
    <row r="19" spans="1:9" x14ac:dyDescent="0.3">
      <c r="A19">
        <v>17</v>
      </c>
      <c r="B19" s="2">
        <v>45047</v>
      </c>
      <c r="C19">
        <v>215</v>
      </c>
      <c r="E19">
        <f t="shared" si="1"/>
        <v>0.95027624309392267</v>
      </c>
      <c r="F19">
        <f t="shared" si="2"/>
        <v>0.94162605720379777</v>
      </c>
      <c r="G19">
        <f t="shared" si="3"/>
        <v>228.3284307556786</v>
      </c>
    </row>
    <row r="20" spans="1:9" x14ac:dyDescent="0.3">
      <c r="A20">
        <v>18</v>
      </c>
      <c r="B20" s="2">
        <v>45078</v>
      </c>
      <c r="C20">
        <v>230</v>
      </c>
      <c r="E20">
        <f t="shared" si="1"/>
        <v>1.0165745856353592</v>
      </c>
      <c r="F20">
        <f t="shared" si="2"/>
        <v>1.0230326011286714</v>
      </c>
      <c r="G20">
        <f t="shared" si="3"/>
        <v>224.82176985000291</v>
      </c>
    </row>
    <row r="21" spans="1:9" x14ac:dyDescent="0.3">
      <c r="A21">
        <v>19</v>
      </c>
      <c r="B21" s="2">
        <v>45108</v>
      </c>
      <c r="C21">
        <v>240</v>
      </c>
      <c r="E21">
        <f t="shared" si="1"/>
        <v>1.0607734806629834</v>
      </c>
      <c r="F21">
        <f t="shared" si="2"/>
        <v>1.0290462577577653</v>
      </c>
      <c r="G21">
        <f t="shared" si="3"/>
        <v>233.22566715605836</v>
      </c>
    </row>
    <row r="22" spans="1:9" x14ac:dyDescent="0.3">
      <c r="A22">
        <v>20</v>
      </c>
      <c r="B22" s="2">
        <v>45139</v>
      </c>
      <c r="C22">
        <v>235</v>
      </c>
      <c r="E22">
        <f t="shared" si="1"/>
        <v>1.0386740331491713</v>
      </c>
      <c r="F22">
        <f t="shared" si="2"/>
        <v>1.0662539066550147</v>
      </c>
      <c r="G22">
        <f t="shared" si="3"/>
        <v>220.39778568054896</v>
      </c>
    </row>
    <row r="23" spans="1:9" x14ac:dyDescent="0.3">
      <c r="A23">
        <v>21</v>
      </c>
      <c r="B23" s="2">
        <v>45170</v>
      </c>
      <c r="C23">
        <v>240</v>
      </c>
      <c r="E23">
        <f t="shared" si="1"/>
        <v>1.0607734806629834</v>
      </c>
      <c r="F23">
        <f t="shared" si="2"/>
        <v>1.1094752121813576</v>
      </c>
      <c r="G23">
        <f t="shared" si="3"/>
        <v>216.31848766421021</v>
      </c>
    </row>
    <row r="24" spans="1:9" x14ac:dyDescent="0.3">
      <c r="A24">
        <v>22</v>
      </c>
      <c r="B24" s="2">
        <v>45200</v>
      </c>
      <c r="C24">
        <v>250</v>
      </c>
      <c r="E24">
        <f t="shared" si="1"/>
        <v>1.1049723756906078</v>
      </c>
      <c r="F24">
        <f t="shared" si="2"/>
        <v>1.1154888688104514</v>
      </c>
      <c r="G24">
        <f t="shared" si="3"/>
        <v>224.11698313636967</v>
      </c>
    </row>
    <row r="25" spans="1:9" x14ac:dyDescent="0.3">
      <c r="A25">
        <v>23</v>
      </c>
      <c r="B25" s="2">
        <v>45231</v>
      </c>
      <c r="C25">
        <v>245</v>
      </c>
      <c r="E25">
        <f t="shared" si="1"/>
        <v>1.0828729281767955</v>
      </c>
      <c r="F25">
        <f t="shared" si="2"/>
        <v>1.1205249359382639</v>
      </c>
      <c r="G25">
        <f t="shared" si="3"/>
        <v>218.64752148050229</v>
      </c>
    </row>
    <row r="26" spans="1:9" x14ac:dyDescent="0.3">
      <c r="A26">
        <v>24</v>
      </c>
      <c r="B26" s="2">
        <v>45261</v>
      </c>
      <c r="C26">
        <v>255</v>
      </c>
      <c r="E26">
        <f t="shared" si="1"/>
        <v>1.1270718232044199</v>
      </c>
      <c r="F26">
        <f t="shared" si="2"/>
        <v>1.174795965221513</v>
      </c>
      <c r="G26">
        <f t="shared" si="3"/>
        <v>217.05896815190255</v>
      </c>
    </row>
    <row r="27" spans="1:9" x14ac:dyDescent="0.3">
      <c r="A27">
        <v>25</v>
      </c>
      <c r="B27" s="2">
        <v>45292</v>
      </c>
      <c r="C27">
        <v>265</v>
      </c>
      <c r="D27">
        <f>AVERAGE(C27:C38)</f>
        <v>280.83333333333331</v>
      </c>
      <c r="E27">
        <f>C27/$D$27</f>
        <v>0.94362017804154308</v>
      </c>
      <c r="F27">
        <f t="shared" si="2"/>
        <v>0.88064986802629641</v>
      </c>
      <c r="G27">
        <f t="shared" si="3"/>
        <v>300.91414263640934</v>
      </c>
      <c r="H27">
        <f>FORECAST(A27,$G$15:G26,$A$15:A26)</f>
        <v>215.4250043038237</v>
      </c>
      <c r="I27">
        <f>F15*H27</f>
        <v>171.24106884554092</v>
      </c>
    </row>
    <row r="28" spans="1:9" x14ac:dyDescent="0.3">
      <c r="A28">
        <v>26</v>
      </c>
      <c r="B28" s="2">
        <v>45323</v>
      </c>
      <c r="C28">
        <v>280</v>
      </c>
      <c r="E28">
        <f t="shared" ref="E28:E38" si="4">C28/$D$27</f>
        <v>0.99703264094955502</v>
      </c>
      <c r="F28">
        <f t="shared" si="2"/>
        <v>0.92945554699411459</v>
      </c>
      <c r="G28">
        <f t="shared" si="3"/>
        <v>301.2516315659505</v>
      </c>
      <c r="H28">
        <f>FORECAST(A28,$G$15:G27,$A$15:A27)</f>
        <v>239.94858841685482</v>
      </c>
      <c r="I28">
        <f t="shared" ref="I28:I38" si="5">F16*H28</f>
        <v>203.75709232204593</v>
      </c>
    </row>
    <row r="29" spans="1:9" x14ac:dyDescent="0.3">
      <c r="A29">
        <v>27</v>
      </c>
      <c r="B29" s="2">
        <v>45352</v>
      </c>
      <c r="C29">
        <v>275</v>
      </c>
      <c r="E29">
        <f t="shared" si="4"/>
        <v>0.97922848664688433</v>
      </c>
      <c r="F29">
        <f t="shared" si="2"/>
        <v>0.9426529173565914</v>
      </c>
      <c r="G29">
        <f t="shared" si="3"/>
        <v>291.72985617141165</v>
      </c>
      <c r="H29">
        <f>FORECAST(A29,$G$15:G28,$A$15:A28)</f>
        <v>258.50130070089523</v>
      </c>
      <c r="I29">
        <f t="shared" si="5"/>
        <v>221.06603316793635</v>
      </c>
    </row>
    <row r="30" spans="1:9" x14ac:dyDescent="0.3">
      <c r="A30">
        <v>28</v>
      </c>
      <c r="B30" s="2">
        <v>45383</v>
      </c>
      <c r="C30">
        <v>290</v>
      </c>
      <c r="E30">
        <f t="shared" si="4"/>
        <v>1.0326409495548963</v>
      </c>
      <c r="F30">
        <f t="shared" si="2"/>
        <v>1.0025083200813154</v>
      </c>
      <c r="G30">
        <f t="shared" si="3"/>
        <v>289.27440719542113</v>
      </c>
      <c r="H30">
        <f>FORECAST(A30,$G$15:G29,$A$15:A29)</f>
        <v>270.15132144349639</v>
      </c>
      <c r="I30">
        <f t="shared" si="5"/>
        <v>248.67542580580815</v>
      </c>
    </row>
    <row r="31" spans="1:9" x14ac:dyDescent="0.3">
      <c r="A31">
        <v>29</v>
      </c>
      <c r="B31" s="2">
        <v>45413</v>
      </c>
      <c r="C31">
        <v>300</v>
      </c>
      <c r="E31">
        <f t="shared" si="4"/>
        <v>1.0682492581602374</v>
      </c>
      <c r="F31">
        <f t="shared" si="2"/>
        <v>1.0092627506270802</v>
      </c>
      <c r="G31">
        <f t="shared" si="3"/>
        <v>297.24667814560928</v>
      </c>
      <c r="H31">
        <f>FORECAST(A31,$G$15:G30,$A$15:A30)</f>
        <v>278.55187938537063</v>
      </c>
      <c r="I31">
        <f t="shared" si="5"/>
        <v>262.29170791235435</v>
      </c>
    </row>
    <row r="32" spans="1:9" x14ac:dyDescent="0.3">
      <c r="A32">
        <v>30</v>
      </c>
      <c r="B32" s="2">
        <v>45444</v>
      </c>
      <c r="C32">
        <v>295</v>
      </c>
      <c r="E32">
        <f t="shared" si="4"/>
        <v>1.0504451038575668</v>
      </c>
      <c r="F32">
        <f t="shared" si="2"/>
        <v>1.033509844746463</v>
      </c>
      <c r="G32">
        <f t="shared" si="3"/>
        <v>285.43511365619196</v>
      </c>
      <c r="H32">
        <f>FORECAST(A32,$G$15:G31,$A$15:A31)</f>
        <v>286.99227484208279</v>
      </c>
      <c r="I32">
        <f t="shared" si="5"/>
        <v>293.60245343553055</v>
      </c>
    </row>
    <row r="33" spans="1:9" x14ac:dyDescent="0.3">
      <c r="A33">
        <v>31</v>
      </c>
      <c r="B33" s="2">
        <v>45474</v>
      </c>
      <c r="C33">
        <v>290</v>
      </c>
      <c r="E33">
        <f t="shared" si="4"/>
        <v>1.0326409495548963</v>
      </c>
      <c r="F33">
        <f t="shared" si="2"/>
        <v>1.0467072151089398</v>
      </c>
      <c r="G33">
        <f t="shared" si="3"/>
        <v>277.05933026344638</v>
      </c>
      <c r="H33">
        <f>FORECAST(A33,$G$15:G32,$A$15:A32)</f>
        <v>291.05442298240177</v>
      </c>
      <c r="I33">
        <f t="shared" si="5"/>
        <v>299.50846477388626</v>
      </c>
    </row>
    <row r="34" spans="1:9" x14ac:dyDescent="0.3">
      <c r="A34">
        <v>32</v>
      </c>
      <c r="B34" s="2">
        <v>45505</v>
      </c>
      <c r="C34">
        <v>285</v>
      </c>
      <c r="E34">
        <f t="shared" si="4"/>
        <v>1.0148367952522257</v>
      </c>
      <c r="F34">
        <f t="shared" si="2"/>
        <v>1.0267554142006985</v>
      </c>
      <c r="G34">
        <f t="shared" si="3"/>
        <v>277.57340848488718</v>
      </c>
      <c r="H34">
        <f>FORECAST(A34,$G$15:G33,$A$15:A33)</f>
        <v>292.48895301525749</v>
      </c>
      <c r="I34">
        <f t="shared" si="5"/>
        <v>311.86748880595337</v>
      </c>
    </row>
    <row r="35" spans="1:9" x14ac:dyDescent="0.3">
      <c r="A35">
        <v>33</v>
      </c>
      <c r="B35" s="2">
        <v>45536</v>
      </c>
      <c r="C35">
        <v>280</v>
      </c>
      <c r="E35">
        <f t="shared" si="4"/>
        <v>0.99703264094955502</v>
      </c>
      <c r="F35">
        <f t="shared" si="2"/>
        <v>1.0289030608062693</v>
      </c>
      <c r="G35">
        <f t="shared" si="3"/>
        <v>272.13448056086679</v>
      </c>
      <c r="H35">
        <f>FORECAST(A35,$G$15:G34,$A$15:A34)</f>
        <v>293.66573430309893</v>
      </c>
      <c r="I35">
        <f t="shared" si="5"/>
        <v>325.81485287632489</v>
      </c>
    </row>
    <row r="36" spans="1:9" x14ac:dyDescent="0.3">
      <c r="A36">
        <v>34</v>
      </c>
      <c r="B36" s="2">
        <v>45566</v>
      </c>
      <c r="C36">
        <v>275</v>
      </c>
      <c r="E36">
        <f t="shared" si="4"/>
        <v>0.97922848664688433</v>
      </c>
      <c r="F36">
        <f t="shared" si="2"/>
        <v>1.0421004311687461</v>
      </c>
      <c r="G36">
        <f t="shared" si="3"/>
        <v>263.89011248328484</v>
      </c>
      <c r="H36">
        <f>FORECAST(A36,$G$15:G35,$A$15:A35)</f>
        <v>293.51135410044105</v>
      </c>
      <c r="I36">
        <f t="shared" si="5"/>
        <v>327.40864836852484</v>
      </c>
    </row>
    <row r="37" spans="1:9" x14ac:dyDescent="0.3">
      <c r="A37">
        <v>35</v>
      </c>
      <c r="B37" s="2">
        <v>45597</v>
      </c>
      <c r="C37">
        <v>270</v>
      </c>
      <c r="E37">
        <f t="shared" si="4"/>
        <v>0.96142433234421376</v>
      </c>
      <c r="F37">
        <f t="shared" si="2"/>
        <v>1.0221486302605047</v>
      </c>
      <c r="G37">
        <f t="shared" si="3"/>
        <v>264.14945146596517</v>
      </c>
      <c r="H37">
        <f>FORECAST(A37,$G$15:G36,$A$15:A36)</f>
        <v>291.79285812077438</v>
      </c>
      <c r="I37">
        <f t="shared" si="5"/>
        <v>326.96117365302365</v>
      </c>
    </row>
    <row r="38" spans="1:9" x14ac:dyDescent="0.3">
      <c r="A38">
        <v>36</v>
      </c>
      <c r="B38" s="2">
        <v>45627</v>
      </c>
      <c r="C38">
        <v>265</v>
      </c>
      <c r="E38">
        <f t="shared" si="4"/>
        <v>0.94362017804154308</v>
      </c>
      <c r="F38">
        <f t="shared" si="2"/>
        <v>1.0353460006229815</v>
      </c>
      <c r="G38">
        <f t="shared" si="3"/>
        <v>255.9530821972036</v>
      </c>
      <c r="H38">
        <f>FORECAST(A38,$G$15:G37,$A$15:A37)</f>
        <v>290.30125343251524</v>
      </c>
      <c r="I38">
        <f t="shared" si="5"/>
        <v>341.04474123126681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593F6-ED53-44DD-8E12-CE936D3DD750}">
  <dimension ref="A1:J37"/>
  <sheetViews>
    <sheetView tabSelected="1" workbookViewId="0">
      <selection activeCell="G13" sqref="G13"/>
    </sheetView>
  </sheetViews>
  <sheetFormatPr defaultRowHeight="14.4" x14ac:dyDescent="0.3"/>
  <cols>
    <col min="4" max="10" width="19.33203125" customWidth="1"/>
  </cols>
  <sheetData>
    <row r="1" spans="1:10" x14ac:dyDescent="0.3">
      <c r="A1" s="3"/>
      <c r="B1" s="5" t="s">
        <v>0</v>
      </c>
      <c r="C1" s="5" t="s">
        <v>1</v>
      </c>
      <c r="D1" s="3" t="s">
        <v>8</v>
      </c>
      <c r="E1" s="3" t="s">
        <v>9</v>
      </c>
      <c r="F1" s="3" t="s">
        <v>10</v>
      </c>
      <c r="G1" s="3" t="s">
        <v>12</v>
      </c>
      <c r="H1" s="3" t="s">
        <v>11</v>
      </c>
      <c r="I1" s="3" t="s">
        <v>7</v>
      </c>
      <c r="J1" s="3" t="s">
        <v>13</v>
      </c>
    </row>
    <row r="2" spans="1:10" x14ac:dyDescent="0.3">
      <c r="A2" s="3">
        <v>1</v>
      </c>
      <c r="B2" s="4">
        <v>44562</v>
      </c>
      <c r="C2" s="3">
        <v>120</v>
      </c>
      <c r="D2" s="3"/>
      <c r="E2" s="3"/>
      <c r="F2" s="3"/>
      <c r="G2" s="3">
        <v>125.50338023022107</v>
      </c>
      <c r="H2" s="3">
        <v>123.91470000000001</v>
      </c>
      <c r="I2" s="3">
        <v>118.48098411949688</v>
      </c>
      <c r="J2" s="3">
        <v>7.0223961107241877</v>
      </c>
    </row>
    <row r="3" spans="1:10" x14ac:dyDescent="0.3">
      <c r="A3" s="3">
        <v>2</v>
      </c>
      <c r="B3" s="4">
        <v>44593</v>
      </c>
      <c r="C3" s="3">
        <v>130</v>
      </c>
      <c r="D3" s="3"/>
      <c r="E3" s="3"/>
      <c r="F3" s="3"/>
      <c r="G3" s="3">
        <v>135.96199524940616</v>
      </c>
      <c r="H3" s="3">
        <v>130.0694</v>
      </c>
      <c r="I3" s="3">
        <v>127.83405048335123</v>
      </c>
      <c r="J3" s="3">
        <v>8.1279447660549238</v>
      </c>
    </row>
    <row r="4" spans="1:10" x14ac:dyDescent="0.3">
      <c r="A4" s="3">
        <v>3</v>
      </c>
      <c r="B4" s="4">
        <v>44621</v>
      </c>
      <c r="C4" s="3">
        <v>125</v>
      </c>
      <c r="D4" s="3"/>
      <c r="E4" s="3"/>
      <c r="F4" s="3"/>
      <c r="G4" s="3">
        <v>130.73268773981363</v>
      </c>
      <c r="H4" s="3">
        <v>136.22410000000002</v>
      </c>
      <c r="I4" s="3">
        <v>132.86399066674483</v>
      </c>
      <c r="J4" s="3">
        <v>-2.1313029269311983</v>
      </c>
    </row>
    <row r="5" spans="1:10" x14ac:dyDescent="0.3">
      <c r="A5" s="3">
        <v>4</v>
      </c>
      <c r="B5" s="4">
        <v>44652</v>
      </c>
      <c r="C5" s="3">
        <v>135</v>
      </c>
      <c r="D5" s="3"/>
      <c r="E5" s="3"/>
      <c r="F5" s="3"/>
      <c r="G5" s="3">
        <v>141.19130275899872</v>
      </c>
      <c r="H5" s="3">
        <v>142.37880000000001</v>
      </c>
      <c r="I5" s="3">
        <v>143.89346808510641</v>
      </c>
      <c r="J5" s="3">
        <v>-2.7021653261076892</v>
      </c>
    </row>
    <row r="6" spans="1:10" x14ac:dyDescent="0.3">
      <c r="A6" s="3">
        <v>5</v>
      </c>
      <c r="B6" s="4">
        <v>44682</v>
      </c>
      <c r="C6" s="3">
        <v>145</v>
      </c>
      <c r="D6" s="3"/>
      <c r="E6" s="3"/>
      <c r="F6" s="3"/>
      <c r="G6" s="3">
        <v>151.64991777818381</v>
      </c>
      <c r="H6" s="3">
        <v>148.5335</v>
      </c>
      <c r="I6" s="3">
        <v>147.51182223549083</v>
      </c>
      <c r="J6" s="3">
        <v>4.1380955426929802</v>
      </c>
    </row>
    <row r="7" spans="1:10" x14ac:dyDescent="0.3">
      <c r="A7" s="3">
        <v>6</v>
      </c>
      <c r="B7" s="4">
        <v>44713</v>
      </c>
      <c r="C7" s="3">
        <v>160</v>
      </c>
      <c r="D7" s="3">
        <v>155.41666666666666</v>
      </c>
      <c r="E7" s="3">
        <v>1.0294906166219839</v>
      </c>
      <c r="F7" s="3">
        <v>1.0066434672357121</v>
      </c>
      <c r="G7" s="3">
        <v>158.94406034280155</v>
      </c>
      <c r="H7" s="3">
        <v>154.68819999999999</v>
      </c>
      <c r="I7" s="3">
        <v>155.71586598845127</v>
      </c>
      <c r="J7" s="3">
        <v>3.2281943543502791</v>
      </c>
    </row>
    <row r="8" spans="1:10" x14ac:dyDescent="0.3">
      <c r="A8" s="3">
        <v>7</v>
      </c>
      <c r="B8" s="4">
        <v>44743</v>
      </c>
      <c r="C8" s="3">
        <v>155</v>
      </c>
      <c r="D8" s="3">
        <v>160.83333333333334</v>
      </c>
      <c r="E8" s="3">
        <v>0.96373056994818651</v>
      </c>
      <c r="F8" s="3">
        <v>0.99707100948214333</v>
      </c>
      <c r="G8" s="3">
        <v>155.45532717925835</v>
      </c>
      <c r="H8" s="3">
        <v>160.84290000000001</v>
      </c>
      <c r="I8" s="3">
        <v>160.37179267103545</v>
      </c>
      <c r="J8" s="3">
        <v>-4.9164654917771031</v>
      </c>
    </row>
    <row r="9" spans="1:10" x14ac:dyDescent="0.3">
      <c r="A9" s="3">
        <v>8</v>
      </c>
      <c r="B9" s="4">
        <v>44774</v>
      </c>
      <c r="C9" s="3">
        <v>170</v>
      </c>
      <c r="D9" s="3">
        <v>166.25</v>
      </c>
      <c r="E9" s="3">
        <v>1.0225563909774436</v>
      </c>
      <c r="F9" s="3">
        <v>1.000861528822055</v>
      </c>
      <c r="G9" s="3">
        <v>169.85366617106192</v>
      </c>
      <c r="H9" s="3">
        <v>166.99760000000001</v>
      </c>
      <c r="I9" s="3">
        <v>167.14147324561404</v>
      </c>
      <c r="J9" s="3">
        <v>2.71219292544788</v>
      </c>
    </row>
    <row r="10" spans="1:10" x14ac:dyDescent="0.3">
      <c r="A10" s="3">
        <v>9</v>
      </c>
      <c r="B10" s="4">
        <v>44805</v>
      </c>
      <c r="C10" s="3">
        <v>180</v>
      </c>
      <c r="D10" s="3">
        <v>172.91666666666666</v>
      </c>
      <c r="E10" s="3">
        <v>1.0409638554216869</v>
      </c>
      <c r="F10" s="3">
        <v>1.0086175209311823</v>
      </c>
      <c r="G10" s="3">
        <v>178.46209912536443</v>
      </c>
      <c r="H10" s="3">
        <v>173.1523</v>
      </c>
      <c r="I10" s="3">
        <v>174.64444356953234</v>
      </c>
      <c r="J10" s="3">
        <v>3.8176555558320899</v>
      </c>
    </row>
    <row r="11" spans="1:10" x14ac:dyDescent="0.3">
      <c r="A11" s="3">
        <v>10</v>
      </c>
      <c r="B11" s="4">
        <v>44835</v>
      </c>
      <c r="C11" s="3">
        <v>175</v>
      </c>
      <c r="D11" s="3">
        <v>180</v>
      </c>
      <c r="E11" s="3">
        <v>0.97222222222222221</v>
      </c>
      <c r="F11" s="3">
        <v>0.98279985283296545</v>
      </c>
      <c r="G11" s="3">
        <v>178.06270472625175</v>
      </c>
      <c r="H11" s="3">
        <v>179.30700000000002</v>
      </c>
      <c r="I11" s="3">
        <v>176.22289321192056</v>
      </c>
      <c r="J11" s="3">
        <v>1.8398115143311884</v>
      </c>
    </row>
    <row r="12" spans="1:10" x14ac:dyDescent="0.3">
      <c r="A12" s="3">
        <v>11</v>
      </c>
      <c r="B12" s="4">
        <v>44866</v>
      </c>
      <c r="C12" s="3">
        <v>180</v>
      </c>
      <c r="D12" s="3">
        <v>185.83333333333334</v>
      </c>
      <c r="E12" s="3">
        <v>0.96860986547085193</v>
      </c>
      <c r="F12" s="3">
        <v>0.95773488442624721</v>
      </c>
      <c r="G12" s="3">
        <v>187.94345170775844</v>
      </c>
      <c r="H12" s="3">
        <v>185.46170000000001</v>
      </c>
      <c r="I12" s="3">
        <v>177.62313981499534</v>
      </c>
      <c r="J12" s="3">
        <v>10.320311892763101</v>
      </c>
    </row>
    <row r="13" spans="1:10" x14ac:dyDescent="0.3">
      <c r="A13" s="3">
        <v>12</v>
      </c>
      <c r="B13" s="4">
        <v>44896</v>
      </c>
      <c r="C13" s="3">
        <v>190</v>
      </c>
      <c r="D13" s="3">
        <v>191.66666666666666</v>
      </c>
      <c r="E13" s="3">
        <v>0.99130434782608701</v>
      </c>
      <c r="F13" s="3">
        <v>0.97830201618433676</v>
      </c>
      <c r="G13" s="3">
        <v>194.21405338716914</v>
      </c>
      <c r="H13" s="3">
        <v>191.6164</v>
      </c>
      <c r="I13" s="3">
        <v>187.45871045398434</v>
      </c>
      <c r="J13" s="3">
        <v>6.7553429331848065</v>
      </c>
    </row>
    <row r="14" spans="1:10" x14ac:dyDescent="0.3">
      <c r="A14" s="3">
        <v>13</v>
      </c>
      <c r="B14" s="4">
        <v>44927</v>
      </c>
      <c r="C14" s="3">
        <v>185</v>
      </c>
      <c r="D14" s="3">
        <v>198.75</v>
      </c>
      <c r="E14" s="3">
        <v>0.9308176100628931</v>
      </c>
      <c r="F14" s="3">
        <v>0.95614954577218736</v>
      </c>
      <c r="G14" s="3">
        <v>193.48437785492416</v>
      </c>
      <c r="H14" s="3">
        <v>197.77109999999999</v>
      </c>
      <c r="I14" s="3">
        <v>189.09874743186583</v>
      </c>
      <c r="J14" s="3">
        <v>4.3856304230583305</v>
      </c>
    </row>
    <row r="15" spans="1:10" x14ac:dyDescent="0.3">
      <c r="A15" s="3">
        <v>14</v>
      </c>
      <c r="B15" s="4">
        <v>44958</v>
      </c>
      <c r="C15" s="3">
        <v>195</v>
      </c>
      <c r="D15" s="3">
        <v>204.16666666666666</v>
      </c>
      <c r="E15" s="3">
        <v>0.95510204081632655</v>
      </c>
      <c r="F15" s="3">
        <v>0.98281417830290008</v>
      </c>
      <c r="G15" s="3">
        <v>198.40983606557378</v>
      </c>
      <c r="H15" s="3">
        <v>203.92580000000001</v>
      </c>
      <c r="I15" s="3">
        <v>200.42116756176154</v>
      </c>
      <c r="J15" s="3">
        <v>-2.0113314961877506</v>
      </c>
    </row>
    <row r="16" spans="1:10" x14ac:dyDescent="0.3">
      <c r="A16" s="3">
        <v>15</v>
      </c>
      <c r="B16" s="4">
        <v>44986</v>
      </c>
      <c r="C16" s="3">
        <v>205</v>
      </c>
      <c r="D16" s="3">
        <v>209.16666666666666</v>
      </c>
      <c r="E16" s="3">
        <v>0.98007968127490042</v>
      </c>
      <c r="F16" s="3">
        <v>0.97533395828450908</v>
      </c>
      <c r="G16" s="3">
        <v>210.18441761278308</v>
      </c>
      <c r="H16" s="3">
        <v>210.0805</v>
      </c>
      <c r="I16" s="3">
        <v>204.8986456233888</v>
      </c>
      <c r="J16" s="3">
        <v>5.2857719893942772</v>
      </c>
    </row>
    <row r="17" spans="1:10" x14ac:dyDescent="0.3">
      <c r="A17" s="3">
        <v>16</v>
      </c>
      <c r="B17" s="4">
        <v>45017</v>
      </c>
      <c r="C17" s="3">
        <v>220</v>
      </c>
      <c r="D17" s="3">
        <v>215.41666666666666</v>
      </c>
      <c r="E17" s="3">
        <v>1.021276595744681</v>
      </c>
      <c r="F17" s="3">
        <v>1.0106382978723405</v>
      </c>
      <c r="G17" s="3">
        <v>217.68421052631578</v>
      </c>
      <c r="H17" s="3">
        <v>216.23520000000002</v>
      </c>
      <c r="I17" s="3">
        <v>218.53557446808514</v>
      </c>
      <c r="J17" s="3">
        <v>-0.85136394176936392</v>
      </c>
    </row>
    <row r="18" spans="1:10" x14ac:dyDescent="0.3">
      <c r="A18" s="3">
        <v>17</v>
      </c>
      <c r="B18" s="4">
        <v>45047</v>
      </c>
      <c r="C18" s="3">
        <v>215</v>
      </c>
      <c r="D18" s="3">
        <v>220.83333333333334</v>
      </c>
      <c r="E18" s="3">
        <v>0.97358490566037736</v>
      </c>
      <c r="F18" s="3">
        <v>0.99312156675423935</v>
      </c>
      <c r="G18" s="3">
        <v>216.48910586311385</v>
      </c>
      <c r="H18" s="3">
        <v>222.38990000000001</v>
      </c>
      <c r="I18" s="3">
        <v>220.86020591831863</v>
      </c>
      <c r="J18" s="3">
        <v>-4.3711000552047778</v>
      </c>
    </row>
    <row r="19" spans="1:10" x14ac:dyDescent="0.3">
      <c r="A19" s="3">
        <v>18</v>
      </c>
      <c r="B19" s="4">
        <v>45078</v>
      </c>
      <c r="C19" s="3">
        <v>230</v>
      </c>
      <c r="D19" s="3">
        <v>226.25</v>
      </c>
      <c r="E19" s="3">
        <v>1.0165745856353592</v>
      </c>
      <c r="F19" s="3"/>
      <c r="G19" s="3">
        <v>228.48208674277723</v>
      </c>
      <c r="H19" s="3">
        <v>228.5446</v>
      </c>
      <c r="I19" s="3">
        <v>230.06292856199892</v>
      </c>
      <c r="J19" s="3">
        <v>-1.5808418192216891</v>
      </c>
    </row>
    <row r="20" spans="1:10" x14ac:dyDescent="0.3">
      <c r="A20" s="3">
        <v>19</v>
      </c>
      <c r="B20" s="4">
        <v>45108</v>
      </c>
      <c r="C20" s="3">
        <v>240</v>
      </c>
      <c r="D20" s="3">
        <v>232.91666666666666</v>
      </c>
      <c r="E20" s="3">
        <v>1.0304114490161003</v>
      </c>
      <c r="F20" s="3"/>
      <c r="G20" s="3">
        <v>240.70502272917423</v>
      </c>
      <c r="H20" s="3">
        <v>234.69929999999999</v>
      </c>
      <c r="I20" s="3">
        <v>234.01186797575241</v>
      </c>
      <c r="J20" s="3">
        <v>6.6931547534218225</v>
      </c>
    </row>
    <row r="21" spans="1:10" x14ac:dyDescent="0.3">
      <c r="A21" s="3">
        <v>20</v>
      </c>
      <c r="B21" s="4">
        <v>45139</v>
      </c>
      <c r="C21" s="3">
        <v>235</v>
      </c>
      <c r="D21" s="3">
        <v>240</v>
      </c>
      <c r="E21" s="3">
        <v>0.97916666666666663</v>
      </c>
      <c r="F21" s="3"/>
      <c r="G21" s="3">
        <v>234.79771500117383</v>
      </c>
      <c r="H21" s="3">
        <v>240.85399999999998</v>
      </c>
      <c r="I21" s="3">
        <v>241.06150266290723</v>
      </c>
      <c r="J21" s="3">
        <v>-6.263787661733403</v>
      </c>
    </row>
    <row r="22" spans="1:10" x14ac:dyDescent="0.3">
      <c r="A22" s="3">
        <v>21</v>
      </c>
      <c r="B22" s="4">
        <v>45170</v>
      </c>
      <c r="C22" s="3">
        <v>240</v>
      </c>
      <c r="D22" s="3">
        <v>245.83333333333334</v>
      </c>
      <c r="E22" s="3">
        <v>0.9762711864406779</v>
      </c>
      <c r="F22" s="3"/>
      <c r="G22" s="3">
        <v>237.94946550048593</v>
      </c>
      <c r="H22" s="3">
        <v>247.00870000000003</v>
      </c>
      <c r="I22" s="3">
        <v>249.13730264243415</v>
      </c>
      <c r="J22" s="3">
        <v>-11.187837141948222</v>
      </c>
    </row>
    <row r="23" spans="1:10" x14ac:dyDescent="0.3">
      <c r="A23" s="3">
        <v>22</v>
      </c>
      <c r="B23" s="4">
        <v>45200</v>
      </c>
      <c r="C23" s="3">
        <v>250</v>
      </c>
      <c r="D23" s="3">
        <v>251.66666666666666</v>
      </c>
      <c r="E23" s="3">
        <v>0.99337748344370869</v>
      </c>
      <c r="F23" s="3"/>
      <c r="G23" s="3">
        <v>254.37529246607392</v>
      </c>
      <c r="H23" s="3">
        <v>253.16340000000002</v>
      </c>
      <c r="I23" s="3">
        <v>248.8089522626932</v>
      </c>
      <c r="J23" s="3">
        <v>5.5663402033807188</v>
      </c>
    </row>
    <row r="24" spans="1:10" x14ac:dyDescent="0.3">
      <c r="A24" s="3">
        <v>23</v>
      </c>
      <c r="B24" s="4">
        <v>45231</v>
      </c>
      <c r="C24" s="3">
        <v>245</v>
      </c>
      <c r="D24" s="3">
        <v>258.75</v>
      </c>
      <c r="E24" s="3">
        <v>0.9468599033816425</v>
      </c>
      <c r="F24" s="3"/>
      <c r="G24" s="3">
        <v>255.81192038000455</v>
      </c>
      <c r="H24" s="3">
        <v>259.31810000000002</v>
      </c>
      <c r="I24" s="3">
        <v>248.35799053313403</v>
      </c>
      <c r="J24" s="3">
        <v>7.4539298468705226</v>
      </c>
    </row>
    <row r="25" spans="1:10" x14ac:dyDescent="0.3">
      <c r="A25" s="3">
        <v>24</v>
      </c>
      <c r="B25" s="4">
        <v>45261</v>
      </c>
      <c r="C25" s="3">
        <v>255</v>
      </c>
      <c r="D25" s="3">
        <v>264.16666666666669</v>
      </c>
      <c r="E25" s="3">
        <v>0.96529968454258663</v>
      </c>
      <c r="F25" s="3"/>
      <c r="G25" s="3">
        <v>260.65570323014805</v>
      </c>
      <c r="H25" s="3">
        <v>265.47280000000001</v>
      </c>
      <c r="I25" s="3">
        <v>259.71257548210122</v>
      </c>
      <c r="J25" s="3">
        <v>0.94312774804683386</v>
      </c>
    </row>
    <row r="26" spans="1:10" x14ac:dyDescent="0.3">
      <c r="A26" s="3">
        <v>25</v>
      </c>
      <c r="B26" s="4">
        <v>45292</v>
      </c>
      <c r="C26" s="3">
        <v>265</v>
      </c>
      <c r="D26" s="3">
        <v>270</v>
      </c>
      <c r="E26" s="3">
        <v>0.98148148148148151</v>
      </c>
      <c r="F26" s="3"/>
      <c r="G26" s="3">
        <v>277.15329800840487</v>
      </c>
      <c r="H26" s="3">
        <v>271.6275</v>
      </c>
      <c r="I26" s="3">
        <v>259.71651074423482</v>
      </c>
      <c r="J26" s="3">
        <v>17.43678726417005</v>
      </c>
    </row>
    <row r="27" spans="1:10" x14ac:dyDescent="0.3">
      <c r="A27" s="3">
        <v>26</v>
      </c>
      <c r="B27" s="4">
        <v>45323</v>
      </c>
      <c r="C27" s="3">
        <v>280</v>
      </c>
      <c r="D27" s="3">
        <v>277.08333333333331</v>
      </c>
      <c r="E27" s="3">
        <v>1.0105263157894737</v>
      </c>
      <c r="F27" s="3"/>
      <c r="G27" s="3">
        <v>284.89617486338801</v>
      </c>
      <c r="H27" s="3">
        <v>277.78219999999999</v>
      </c>
      <c r="I27" s="3">
        <v>273.00828464017184</v>
      </c>
      <c r="J27" s="3">
        <v>11.887890223216175</v>
      </c>
    </row>
    <row r="28" spans="1:10" x14ac:dyDescent="0.3">
      <c r="A28" s="3">
        <v>27</v>
      </c>
      <c r="B28" s="4">
        <v>45352</v>
      </c>
      <c r="C28" s="3">
        <v>275</v>
      </c>
      <c r="D28" s="3">
        <v>283.33333333333331</v>
      </c>
      <c r="E28" s="3">
        <v>0.97058823529411775</v>
      </c>
      <c r="F28" s="3"/>
      <c r="G28" s="3">
        <v>281.95470655373339</v>
      </c>
      <c r="H28" s="3">
        <v>283.93689999999998</v>
      </c>
      <c r="I28" s="3">
        <v>276.93330058003284</v>
      </c>
      <c r="J28" s="3">
        <v>5.0214059737005527</v>
      </c>
    </row>
    <row r="29" spans="1:10" x14ac:dyDescent="0.3">
      <c r="A29" s="3">
        <v>28</v>
      </c>
      <c r="B29" s="4">
        <v>45383</v>
      </c>
      <c r="C29" s="3">
        <v>290</v>
      </c>
      <c r="D29" s="3">
        <v>290</v>
      </c>
      <c r="E29" s="3">
        <v>1</v>
      </c>
      <c r="F29" s="3"/>
      <c r="G29" s="3">
        <v>286.9473684210526</v>
      </c>
      <c r="H29" s="3">
        <v>290.09160000000003</v>
      </c>
      <c r="I29" s="3">
        <v>293.17768085106388</v>
      </c>
      <c r="J29" s="3">
        <v>-6.2303124300112813</v>
      </c>
    </row>
    <row r="30" spans="1:10" x14ac:dyDescent="0.3">
      <c r="A30" s="3">
        <v>29</v>
      </c>
      <c r="B30" s="4">
        <v>45413</v>
      </c>
      <c r="C30" s="3">
        <v>300</v>
      </c>
      <c r="D30" s="3">
        <v>296.25</v>
      </c>
      <c r="E30" s="3">
        <v>1.0126582278481013</v>
      </c>
      <c r="F30" s="3"/>
      <c r="G30" s="3">
        <v>302.07782213457745</v>
      </c>
      <c r="H30" s="3">
        <v>296.24630000000002</v>
      </c>
      <c r="I30" s="3">
        <v>294.20858960114646</v>
      </c>
      <c r="J30" s="3">
        <v>7.8692325334309885</v>
      </c>
    </row>
    <row r="31" spans="1:10" x14ac:dyDescent="0.3">
      <c r="A31" s="3">
        <v>30</v>
      </c>
      <c r="B31" s="4">
        <v>45444</v>
      </c>
      <c r="C31" s="3">
        <v>295</v>
      </c>
      <c r="D31" s="3">
        <v>302.91666666666669</v>
      </c>
      <c r="E31" s="3">
        <v>0.97386519944979366</v>
      </c>
      <c r="F31" s="3"/>
      <c r="G31" s="3">
        <v>293.05311125704037</v>
      </c>
      <c r="H31" s="3">
        <v>302.40100000000001</v>
      </c>
      <c r="I31" s="3">
        <v>304.40999113554659</v>
      </c>
      <c r="J31" s="3">
        <v>-11.35687987850622</v>
      </c>
    </row>
    <row r="32" spans="1:10" x14ac:dyDescent="0.3">
      <c r="A32" s="3">
        <v>31</v>
      </c>
      <c r="B32" s="4">
        <v>45474</v>
      </c>
      <c r="C32" s="3">
        <v>310</v>
      </c>
      <c r="D32" s="3"/>
      <c r="E32" s="3"/>
      <c r="F32" s="3"/>
      <c r="G32" s="3">
        <v>310.91065435851669</v>
      </c>
      <c r="H32" s="3">
        <v>308.5557</v>
      </c>
      <c r="I32" s="3">
        <v>307.65194328046937</v>
      </c>
      <c r="J32" s="3">
        <v>3.2587110780473267</v>
      </c>
    </row>
    <row r="33" spans="1:10" x14ac:dyDescent="0.3">
      <c r="A33" s="3">
        <v>32</v>
      </c>
      <c r="B33" s="4">
        <v>45505</v>
      </c>
      <c r="C33" s="3">
        <v>320</v>
      </c>
      <c r="D33" s="3"/>
      <c r="E33" s="3"/>
      <c r="F33" s="3"/>
      <c r="G33" s="3">
        <v>319.72454808670477</v>
      </c>
      <c r="H33" s="3">
        <v>314.71039999999999</v>
      </c>
      <c r="I33" s="3">
        <v>314.98153208020045</v>
      </c>
      <c r="J33" s="3">
        <v>4.7430160065043196</v>
      </c>
    </row>
    <row r="34" spans="1:10" x14ac:dyDescent="0.3">
      <c r="A34" s="3">
        <v>33</v>
      </c>
      <c r="B34" s="4">
        <v>45536</v>
      </c>
      <c r="C34" s="3">
        <v>315</v>
      </c>
      <c r="D34" s="3"/>
      <c r="E34" s="3"/>
      <c r="F34" s="3"/>
      <c r="G34" s="3">
        <v>312.30867346938777</v>
      </c>
      <c r="H34" s="3">
        <v>320.86509999999998</v>
      </c>
      <c r="I34" s="3">
        <v>323.63016171533587</v>
      </c>
      <c r="J34" s="3">
        <v>-11.321488245948103</v>
      </c>
    </row>
    <row r="35" spans="1:10" x14ac:dyDescent="0.3">
      <c r="A35" s="3">
        <v>34</v>
      </c>
      <c r="B35" s="4">
        <v>45566</v>
      </c>
      <c r="C35" s="3">
        <v>330</v>
      </c>
      <c r="D35" s="3"/>
      <c r="E35" s="3"/>
      <c r="F35" s="3"/>
      <c r="G35" s="3">
        <v>335.77538605521761</v>
      </c>
      <c r="H35" s="3">
        <v>327.01980000000003</v>
      </c>
      <c r="I35" s="3">
        <v>321.39501131346583</v>
      </c>
      <c r="J35" s="3">
        <v>14.38037474175178</v>
      </c>
    </row>
    <row r="36" spans="1:10" x14ac:dyDescent="0.3">
      <c r="A36" s="3">
        <v>35</v>
      </c>
      <c r="B36" s="4">
        <v>45597</v>
      </c>
      <c r="C36" s="3">
        <v>320</v>
      </c>
      <c r="D36" s="3"/>
      <c r="E36" s="3"/>
      <c r="F36" s="3"/>
      <c r="G36" s="3">
        <v>334.12169192490387</v>
      </c>
      <c r="H36" s="3">
        <v>333.17450000000002</v>
      </c>
      <c r="I36" s="3">
        <v>319.09284125127272</v>
      </c>
      <c r="J36" s="3">
        <v>15.028850673631155</v>
      </c>
    </row>
    <row r="37" spans="1:10" x14ac:dyDescent="0.3">
      <c r="A37" s="3">
        <v>36</v>
      </c>
      <c r="B37" s="4">
        <v>45627</v>
      </c>
      <c r="C37" s="3">
        <v>335</v>
      </c>
      <c r="D37" s="3"/>
      <c r="E37" s="3"/>
      <c r="F37" s="3"/>
      <c r="G37" s="3">
        <v>342.43004149842983</v>
      </c>
      <c r="H37" s="3">
        <v>339.32920000000001</v>
      </c>
      <c r="I37" s="3">
        <v>331.96644051021804</v>
      </c>
      <c r="J37" s="3">
        <v>10.463600988211795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Riksakomara</dc:creator>
  <cp:lastModifiedBy>Davin Jonathan Tanus</cp:lastModifiedBy>
  <dcterms:created xsi:type="dcterms:W3CDTF">2015-06-05T18:17:20Z</dcterms:created>
  <dcterms:modified xsi:type="dcterms:W3CDTF">2025-04-17T08:53:36Z</dcterms:modified>
</cp:coreProperties>
</file>