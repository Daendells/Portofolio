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cle\Downloads\"/>
    </mc:Choice>
  </mc:AlternateContent>
  <xr:revisionPtr revIDLastSave="0" documentId="13_ncr:1_{9B99A1BD-59B9-4EEA-B7F4-BBED1548099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S" sheetId="1" r:id="rId1"/>
    <sheet name="DES H" sheetId="2" r:id="rId2"/>
    <sheet name="DES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6" i="1"/>
  <c r="H36" i="3"/>
  <c r="H38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7" i="2"/>
  <c r="I7" i="3"/>
  <c r="J7" i="3" s="1"/>
  <c r="H7" i="3"/>
  <c r="D7" i="3"/>
  <c r="G6" i="3"/>
  <c r="F6" i="3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F36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7" i="2"/>
  <c r="E8" i="2"/>
  <c r="E7" i="2"/>
  <c r="D8" i="2" s="1"/>
  <c r="D9" i="2" s="1"/>
  <c r="D7" i="2"/>
  <c r="D3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D8" i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7" i="1"/>
  <c r="D8" i="3" l="1"/>
  <c r="E7" i="3"/>
  <c r="G7" i="3" s="1"/>
  <c r="E9" i="2"/>
  <c r="D10" i="2" s="1"/>
  <c r="E8" i="3" l="1"/>
  <c r="F8" i="3"/>
  <c r="D9" i="3"/>
  <c r="G8" i="3"/>
  <c r="F7" i="3"/>
  <c r="H8" i="3" s="1"/>
  <c r="I8" i="3" s="1"/>
  <c r="J8" i="3" s="1"/>
  <c r="E10" i="2"/>
  <c r="D11" i="2" s="1"/>
  <c r="D10" i="3" l="1"/>
  <c r="E9" i="3"/>
  <c r="E10" i="3" s="1"/>
  <c r="F9" i="3"/>
  <c r="H9" i="3"/>
  <c r="I9" i="3" s="1"/>
  <c r="J9" i="3" s="1"/>
  <c r="E11" i="2"/>
  <c r="D12" i="2" s="1"/>
  <c r="G9" i="3" l="1"/>
  <c r="H10" i="3" s="1"/>
  <c r="I10" i="3" s="1"/>
  <c r="J10" i="3" s="1"/>
  <c r="D11" i="3"/>
  <c r="G10" i="3"/>
  <c r="F10" i="3"/>
  <c r="E12" i="2"/>
  <c r="D13" i="2" s="1"/>
  <c r="H11" i="3" l="1"/>
  <c r="I11" i="3" s="1"/>
  <c r="J11" i="3" s="1"/>
  <c r="D12" i="3"/>
  <c r="E11" i="3"/>
  <c r="E13" i="2"/>
  <c r="D14" i="2" s="1"/>
  <c r="E12" i="3" l="1"/>
  <c r="G11" i="3"/>
  <c r="F11" i="3"/>
  <c r="H12" i="3" s="1"/>
  <c r="I12" i="3" s="1"/>
  <c r="J12" i="3" s="1"/>
  <c r="D13" i="3"/>
  <c r="F12" i="3"/>
  <c r="H13" i="3" s="1"/>
  <c r="I13" i="3" s="1"/>
  <c r="J13" i="3" s="1"/>
  <c r="G12" i="3"/>
  <c r="E14" i="2"/>
  <c r="D15" i="2" s="1"/>
  <c r="D14" i="3" l="1"/>
  <c r="E13" i="3"/>
  <c r="E14" i="3" s="1"/>
  <c r="E15" i="2"/>
  <c r="D16" i="2" s="1"/>
  <c r="F13" i="3" l="1"/>
  <c r="G13" i="3"/>
  <c r="D15" i="3"/>
  <c r="F14" i="3"/>
  <c r="G14" i="3"/>
  <c r="E16" i="2"/>
  <c r="D17" i="2" s="1"/>
  <c r="D16" i="3" l="1"/>
  <c r="E15" i="3"/>
  <c r="E16" i="3" s="1"/>
  <c r="H15" i="3"/>
  <c r="I15" i="3" s="1"/>
  <c r="J15" i="3" s="1"/>
  <c r="H14" i="3"/>
  <c r="I14" i="3" s="1"/>
  <c r="J14" i="3" s="1"/>
  <c r="E17" i="2"/>
  <c r="D18" i="2" s="1"/>
  <c r="G15" i="3" l="1"/>
  <c r="F15" i="3"/>
  <c r="H16" i="3" s="1"/>
  <c r="I16" i="3" s="1"/>
  <c r="J16" i="3" s="1"/>
  <c r="D17" i="3"/>
  <c r="F16" i="3"/>
  <c r="G16" i="3"/>
  <c r="E18" i="2"/>
  <c r="D19" i="2" s="1"/>
  <c r="D18" i="3" l="1"/>
  <c r="H17" i="3"/>
  <c r="I17" i="3" s="1"/>
  <c r="J17" i="3" s="1"/>
  <c r="E17" i="3"/>
  <c r="E18" i="3" s="1"/>
  <c r="E19" i="2"/>
  <c r="D20" i="2" s="1"/>
  <c r="F17" i="3" l="1"/>
  <c r="G17" i="3"/>
  <c r="D19" i="3"/>
  <c r="G18" i="3"/>
  <c r="F18" i="3"/>
  <c r="E20" i="2"/>
  <c r="D21" i="2" s="1"/>
  <c r="H19" i="3" l="1"/>
  <c r="I19" i="3" s="1"/>
  <c r="J19" i="3" s="1"/>
  <c r="D20" i="3"/>
  <c r="H18" i="3"/>
  <c r="I18" i="3" s="1"/>
  <c r="J18" i="3" s="1"/>
  <c r="E19" i="3"/>
  <c r="E20" i="3" s="1"/>
  <c r="E21" i="2"/>
  <c r="D22" i="2" s="1"/>
  <c r="F19" i="3" l="1"/>
  <c r="G19" i="3"/>
  <c r="D21" i="3"/>
  <c r="G20" i="3"/>
  <c r="F20" i="3"/>
  <c r="E22" i="2"/>
  <c r="D23" i="2" s="1"/>
  <c r="H21" i="3" l="1"/>
  <c r="I21" i="3" s="1"/>
  <c r="J21" i="3" s="1"/>
  <c r="D22" i="3"/>
  <c r="H20" i="3"/>
  <c r="I20" i="3" s="1"/>
  <c r="J20" i="3" s="1"/>
  <c r="E21" i="3"/>
  <c r="E22" i="3" s="1"/>
  <c r="E23" i="2"/>
  <c r="D24" i="2" s="1"/>
  <c r="D23" i="3" l="1"/>
  <c r="G22" i="3"/>
  <c r="F22" i="3"/>
  <c r="H23" i="3" s="1"/>
  <c r="I23" i="3" s="1"/>
  <c r="J23" i="3" s="1"/>
  <c r="E23" i="3"/>
  <c r="F21" i="3"/>
  <c r="G21" i="3"/>
  <c r="E24" i="2"/>
  <c r="D25" i="2" s="1"/>
  <c r="H22" i="3" l="1"/>
  <c r="I22" i="3" s="1"/>
  <c r="J22" i="3" s="1"/>
  <c r="D24" i="3"/>
  <c r="F23" i="3"/>
  <c r="G23" i="3"/>
  <c r="E25" i="2"/>
  <c r="D26" i="2" s="1"/>
  <c r="H24" i="3" l="1"/>
  <c r="I24" i="3" s="1"/>
  <c r="J24" i="3" s="1"/>
  <c r="D25" i="3"/>
  <c r="E24" i="3"/>
  <c r="E25" i="3" s="1"/>
  <c r="E26" i="2"/>
  <c r="D27" i="2" s="1"/>
  <c r="D26" i="3" l="1"/>
  <c r="G25" i="3"/>
  <c r="F25" i="3"/>
  <c r="H26" i="3" s="1"/>
  <c r="I26" i="3" s="1"/>
  <c r="J26" i="3" s="1"/>
  <c r="E26" i="3"/>
  <c r="G24" i="3"/>
  <c r="F24" i="3"/>
  <c r="H25" i="3" s="1"/>
  <c r="I25" i="3" s="1"/>
  <c r="J25" i="3" s="1"/>
  <c r="E27" i="2"/>
  <c r="D28" i="2" s="1"/>
  <c r="D27" i="3" l="1"/>
  <c r="G26" i="3"/>
  <c r="F26" i="3"/>
  <c r="H27" i="3" s="1"/>
  <c r="I27" i="3" s="1"/>
  <c r="J27" i="3" s="1"/>
  <c r="E28" i="2"/>
  <c r="D29" i="2" s="1"/>
  <c r="D28" i="3" l="1"/>
  <c r="E27" i="3"/>
  <c r="E28" i="3" s="1"/>
  <c r="E29" i="2"/>
  <c r="D30" i="2" s="1"/>
  <c r="G27" i="3" l="1"/>
  <c r="F27" i="3"/>
  <c r="H28" i="3" s="1"/>
  <c r="I28" i="3" s="1"/>
  <c r="J28" i="3" s="1"/>
  <c r="D29" i="3"/>
  <c r="F28" i="3"/>
  <c r="G28" i="3"/>
  <c r="E30" i="2"/>
  <c r="D31" i="2" s="1"/>
  <c r="H29" i="3" l="1"/>
  <c r="I29" i="3" s="1"/>
  <c r="J29" i="3" s="1"/>
  <c r="D30" i="3"/>
  <c r="E29" i="3"/>
  <c r="E30" i="3" s="1"/>
  <c r="E31" i="2"/>
  <c r="D32" i="2" s="1"/>
  <c r="D31" i="3" l="1"/>
  <c r="G30" i="3"/>
  <c r="F30" i="3"/>
  <c r="H31" i="3" s="1"/>
  <c r="I31" i="3" s="1"/>
  <c r="J31" i="3" s="1"/>
  <c r="F29" i="3"/>
  <c r="G29" i="3"/>
  <c r="E32" i="2"/>
  <c r="D33" i="2" s="1"/>
  <c r="H30" i="3" l="1"/>
  <c r="I30" i="3" s="1"/>
  <c r="J30" i="3" s="1"/>
  <c r="D32" i="3"/>
  <c r="E31" i="3"/>
  <c r="E32" i="3" s="1"/>
  <c r="E33" i="2"/>
  <c r="D34" i="2" s="1"/>
  <c r="F31" i="3" l="1"/>
  <c r="G31" i="3"/>
  <c r="D33" i="3"/>
  <c r="F32" i="3"/>
  <c r="G32" i="3"/>
  <c r="E34" i="2"/>
  <c r="D35" i="2" s="1"/>
  <c r="E35" i="2" s="1"/>
  <c r="H33" i="3" l="1"/>
  <c r="I33" i="3" s="1"/>
  <c r="J33" i="3" s="1"/>
  <c r="D34" i="3"/>
  <c r="E33" i="3"/>
  <c r="E34" i="3" s="1"/>
  <c r="H32" i="3"/>
  <c r="I32" i="3" s="1"/>
  <c r="J32" i="3" s="1"/>
  <c r="D35" i="3" l="1"/>
  <c r="G34" i="3"/>
  <c r="F34" i="3"/>
  <c r="H35" i="3" s="1"/>
  <c r="I35" i="3" s="1"/>
  <c r="J35" i="3" s="1"/>
  <c r="E35" i="3"/>
  <c r="F33" i="3"/>
  <c r="G33" i="3"/>
  <c r="H34" i="3" l="1"/>
  <c r="I34" i="3" s="1"/>
  <c r="J34" i="3" s="1"/>
  <c r="J37" i="3" s="1"/>
  <c r="G35" i="3"/>
  <c r="F35" i="3"/>
</calcChain>
</file>

<file path=xl/sharedStrings.xml><?xml version="1.0" encoding="utf-8"?>
<sst xmlns="http://schemas.openxmlformats.org/spreadsheetml/2006/main" count="39" uniqueCount="18">
  <si>
    <t>Periode (t)</t>
  </si>
  <si>
    <t>Pembelian</t>
  </si>
  <si>
    <t>NRP</t>
  </si>
  <si>
    <t xml:space="preserve">alpha </t>
  </si>
  <si>
    <t>betha</t>
  </si>
  <si>
    <t>A = 3</t>
  </si>
  <si>
    <t>B = 1</t>
  </si>
  <si>
    <t>Forecast</t>
  </si>
  <si>
    <t>EROR</t>
  </si>
  <si>
    <t>Level (L)</t>
  </si>
  <si>
    <t>Trend (b)</t>
  </si>
  <si>
    <t>Eror</t>
  </si>
  <si>
    <t>Level' (L')</t>
  </si>
  <si>
    <t>at</t>
  </si>
  <si>
    <t>bt</t>
  </si>
  <si>
    <t xml:space="preserve">SSE </t>
  </si>
  <si>
    <t>SSE =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</si>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</sst>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SES!$C$5</c:f>
              <c:strCache>
                <c:ptCount val="1"/>
                <c:pt idx="0">
                  <c:v>Pembelian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SES!$C$6:$C$36</c:f>
              <c:numCache>
                <c:formatCode>General</c:formatCode>
                <c:ptCount val="31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135</c:v>
                </c:pt>
                <c:pt idx="4">
                  <c:v>145</c:v>
                </c:pt>
                <c:pt idx="5">
                  <c:v>160</c:v>
                </c:pt>
                <c:pt idx="6">
                  <c:v>155</c:v>
                </c:pt>
                <c:pt idx="7">
                  <c:v>170</c:v>
                </c:pt>
                <c:pt idx="8">
                  <c:v>180</c:v>
                </c:pt>
                <c:pt idx="9">
                  <c:v>175</c:v>
                </c:pt>
                <c:pt idx="10">
                  <c:v>180</c:v>
                </c:pt>
                <c:pt idx="11">
                  <c:v>190</c:v>
                </c:pt>
                <c:pt idx="12">
                  <c:v>185</c:v>
                </c:pt>
                <c:pt idx="13">
                  <c:v>195</c:v>
                </c:pt>
                <c:pt idx="14">
                  <c:v>205</c:v>
                </c:pt>
                <c:pt idx="15">
                  <c:v>220</c:v>
                </c:pt>
                <c:pt idx="16">
                  <c:v>215</c:v>
                </c:pt>
                <c:pt idx="17">
                  <c:v>230</c:v>
                </c:pt>
                <c:pt idx="18">
                  <c:v>240</c:v>
                </c:pt>
                <c:pt idx="19">
                  <c:v>235</c:v>
                </c:pt>
                <c:pt idx="20">
                  <c:v>240</c:v>
                </c:pt>
                <c:pt idx="21">
                  <c:v>250</c:v>
                </c:pt>
                <c:pt idx="22">
                  <c:v>245</c:v>
                </c:pt>
                <c:pt idx="23">
                  <c:v>255</c:v>
                </c:pt>
                <c:pt idx="24">
                  <c:v>265</c:v>
                </c:pt>
                <c:pt idx="25">
                  <c:v>280</c:v>
                </c:pt>
                <c:pt idx="26">
                  <c:v>275</c:v>
                </c:pt>
                <c:pt idx="27">
                  <c:v>290</c:v>
                </c:pt>
                <c:pt idx="28">
                  <c:v>300</c:v>
                </c:pt>
                <c:pt idx="2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4-48FD-9CFB-FCF6567A4010}"/>
            </c:ext>
          </c:extLst>
        </c:ser>
        <c:ser>
          <c:idx val="1"/>
          <c:order val="1"/>
          <c:tx>
            <c:strRef>
              <c:f>SES!$D$5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SES!$D$6:$D$36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123</c:v>
                </c:pt>
                <c:pt idx="3">
                  <c:v>123.6</c:v>
                </c:pt>
                <c:pt idx="4">
                  <c:v>127.02</c:v>
                </c:pt>
                <c:pt idx="5">
                  <c:v>132.41399999999999</c:v>
                </c:pt>
                <c:pt idx="6">
                  <c:v>140.68979999999999</c:v>
                </c:pt>
                <c:pt idx="7">
                  <c:v>144.98285999999999</c:v>
                </c:pt>
                <c:pt idx="8">
                  <c:v>152.48800199999999</c:v>
                </c:pt>
                <c:pt idx="9">
                  <c:v>160.74160140000001</c:v>
                </c:pt>
                <c:pt idx="10">
                  <c:v>165.01912098</c:v>
                </c:pt>
                <c:pt idx="11">
                  <c:v>169.51338468599999</c:v>
                </c:pt>
                <c:pt idx="12">
                  <c:v>175.6593692802</c:v>
                </c:pt>
                <c:pt idx="13">
                  <c:v>178.46155849613999</c:v>
                </c:pt>
                <c:pt idx="14">
                  <c:v>183.42309094729799</c:v>
                </c:pt>
                <c:pt idx="15">
                  <c:v>189.89616366310861</c:v>
                </c:pt>
                <c:pt idx="16">
                  <c:v>198.92731456417602</c:v>
                </c:pt>
                <c:pt idx="17">
                  <c:v>203.74912019492322</c:v>
                </c:pt>
                <c:pt idx="18">
                  <c:v>211.62438413644625</c:v>
                </c:pt>
                <c:pt idx="19">
                  <c:v>220.13706889551239</c:v>
                </c:pt>
                <c:pt idx="20">
                  <c:v>224.59594822685867</c:v>
                </c:pt>
                <c:pt idx="21">
                  <c:v>229.21716375880106</c:v>
                </c:pt>
                <c:pt idx="22">
                  <c:v>235.45201463116075</c:v>
                </c:pt>
                <c:pt idx="23">
                  <c:v>238.31641024181252</c:v>
                </c:pt>
                <c:pt idx="24">
                  <c:v>243.32148716926878</c:v>
                </c:pt>
                <c:pt idx="25">
                  <c:v>249.82504101848815</c:v>
                </c:pt>
                <c:pt idx="26">
                  <c:v>258.87752871294168</c:v>
                </c:pt>
                <c:pt idx="27">
                  <c:v>263.71427009905915</c:v>
                </c:pt>
                <c:pt idx="28">
                  <c:v>271.5999890693414</c:v>
                </c:pt>
                <c:pt idx="29">
                  <c:v>280.11999234853897</c:v>
                </c:pt>
                <c:pt idx="30">
                  <c:v>284.58399464397729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4-48FD-9CFB-FCF6567A4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589183"/>
        <c:axId val="2026594463"/>
      </c:lineChart>
      <c:catAx>
        <c:axId val="2026589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94463"/>
        <c:crosses val="autoZero"/>
        <c:auto val="1"/>
        <c:lblAlgn val="ctr"/>
        <c:lblOffset val="100"/>
        <c:noMultiLvlLbl val="0"/>
      </c:catAx>
      <c:valAx>
        <c:axId val="20265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'DES H'!$C$5</c:f>
              <c:strCache>
                <c:ptCount val="1"/>
                <c:pt idx="0">
                  <c:v>Pembelian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'DES H'!$C$6:$C$35</c:f>
              <c:numCache>
                <c:formatCode>General</c:formatCode>
                <c:ptCount val="30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135</c:v>
                </c:pt>
                <c:pt idx="4">
                  <c:v>145</c:v>
                </c:pt>
                <c:pt idx="5">
                  <c:v>160</c:v>
                </c:pt>
                <c:pt idx="6">
                  <c:v>155</c:v>
                </c:pt>
                <c:pt idx="7">
                  <c:v>170</c:v>
                </c:pt>
                <c:pt idx="8">
                  <c:v>180</c:v>
                </c:pt>
                <c:pt idx="9">
                  <c:v>175</c:v>
                </c:pt>
                <c:pt idx="10">
                  <c:v>180</c:v>
                </c:pt>
                <c:pt idx="11">
                  <c:v>190</c:v>
                </c:pt>
                <c:pt idx="12">
                  <c:v>185</c:v>
                </c:pt>
                <c:pt idx="13">
                  <c:v>195</c:v>
                </c:pt>
                <c:pt idx="14">
                  <c:v>205</c:v>
                </c:pt>
                <c:pt idx="15">
                  <c:v>220</c:v>
                </c:pt>
                <c:pt idx="16">
                  <c:v>215</c:v>
                </c:pt>
                <c:pt idx="17">
                  <c:v>230</c:v>
                </c:pt>
                <c:pt idx="18">
                  <c:v>240</c:v>
                </c:pt>
                <c:pt idx="19">
                  <c:v>235</c:v>
                </c:pt>
                <c:pt idx="20">
                  <c:v>240</c:v>
                </c:pt>
                <c:pt idx="21">
                  <c:v>250</c:v>
                </c:pt>
                <c:pt idx="22">
                  <c:v>245</c:v>
                </c:pt>
                <c:pt idx="23">
                  <c:v>255</c:v>
                </c:pt>
                <c:pt idx="24">
                  <c:v>265</c:v>
                </c:pt>
                <c:pt idx="25">
                  <c:v>280</c:v>
                </c:pt>
                <c:pt idx="26">
                  <c:v>275</c:v>
                </c:pt>
                <c:pt idx="27">
                  <c:v>290</c:v>
                </c:pt>
                <c:pt idx="28">
                  <c:v>300</c:v>
                </c:pt>
                <c:pt idx="2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B-40B1-9370-F7E118A6FF70}"/>
            </c:ext>
          </c:extLst>
        </c:ser>
        <c:ser>
          <c:idx val="1"/>
          <c:order val="1"/>
          <c:tx>
            <c:strRef>
              <c:f>'DES H'!$F$5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'DES H'!$F$6:$F$36</c:f>
              <c:numCache>
                <c:formatCode>General</c:formatCode>
                <c:ptCount val="31"/>
                <c:pt idx="1">
                  <c:v>130</c:v>
                </c:pt>
                <c:pt idx="2">
                  <c:v>140</c:v>
                </c:pt>
                <c:pt idx="3">
                  <c:v>145.05000000000001</c:v>
                </c:pt>
                <c:pt idx="4">
                  <c:v>151.2835</c:v>
                </c:pt>
                <c:pt idx="5">
                  <c:v>158.45844499999998</c:v>
                </c:pt>
                <c:pt idx="6">
                  <c:v>168.02715314999998</c:v>
                </c:pt>
                <c:pt idx="7">
                  <c:v>172.83443426049996</c:v>
                </c:pt>
                <c:pt idx="8">
                  <c:v>180.61449801003494</c:v>
                </c:pt>
                <c:pt idx="9">
                  <c:v>189.0421076944084</c:v>
                </c:pt>
                <c:pt idx="10">
                  <c:v>193.02017124263756</c:v>
                </c:pt>
                <c:pt idx="11">
                  <c:v>196.91421058911885</c:v>
                </c:pt>
                <c:pt idx="12">
                  <c:v>202.43261181398219</c:v>
                </c:pt>
                <c:pt idx="13">
                  <c:v>204.27251431696706</c:v>
                </c:pt>
                <c:pt idx="14">
                  <c:v>208.28227063954745</c:v>
                </c:pt>
                <c:pt idx="15">
                  <c:v>213.9906319461673</c:v>
                </c:pt>
                <c:pt idx="16">
                  <c:v>222.66676590241619</c:v>
                </c:pt>
                <c:pt idx="17">
                  <c:v>227.01005669471789</c:v>
                </c:pt>
                <c:pt idx="18">
                  <c:v>234.64005854848756</c:v>
                </c:pt>
                <c:pt idx="19">
                  <c:v>243.1418580896717</c:v>
                </c:pt>
                <c:pt idx="20">
                  <c:v>247.34886202581046</c:v>
                </c:pt>
                <c:pt idx="21">
                  <c:v>251.57329892033329</c:v>
                </c:pt>
                <c:pt idx="22">
                  <c:v>257.48320577888921</c:v>
                </c:pt>
                <c:pt idx="23">
                  <c:v>259.7456444065117</c:v>
                </c:pt>
                <c:pt idx="24">
                  <c:v>264.18698211365211</c:v>
                </c:pt>
                <c:pt idx="25">
                  <c:v>270.32030904524083</c:v>
                </c:pt>
                <c:pt idx="26">
                  <c:v>279.40402862599569</c:v>
                </c:pt>
                <c:pt idx="27">
                  <c:v>284.13051147374426</c:v>
                </c:pt>
                <c:pt idx="28">
                  <c:v>292.11513412295585</c:v>
                </c:pt>
                <c:pt idx="29">
                  <c:v>300.94091595371532</c:v>
                </c:pt>
                <c:pt idx="30">
                  <c:v>305.44073575663549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B-40B1-9370-F7E118A6F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963535"/>
        <c:axId val="483972175"/>
      </c:lineChart>
      <c:catAx>
        <c:axId val="48396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72175"/>
        <c:crosses val="autoZero"/>
        <c:auto val="1"/>
        <c:lblAlgn val="ctr"/>
        <c:lblOffset val="100"/>
        <c:noMultiLvlLbl val="0"/>
      </c:catAx>
      <c:valAx>
        <c:axId val="4839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6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'DES B'!$C$5</c:f>
              <c:strCache>
                <c:ptCount val="1"/>
                <c:pt idx="0">
                  <c:v>Pembelian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'DES B'!$C$6:$C$35</c:f>
              <c:numCache>
                <c:formatCode>General</c:formatCode>
                <c:ptCount val="30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135</c:v>
                </c:pt>
                <c:pt idx="4">
                  <c:v>145</c:v>
                </c:pt>
                <c:pt idx="5">
                  <c:v>160</c:v>
                </c:pt>
                <c:pt idx="6">
                  <c:v>155</c:v>
                </c:pt>
                <c:pt idx="7">
                  <c:v>170</c:v>
                </c:pt>
                <c:pt idx="8">
                  <c:v>180</c:v>
                </c:pt>
                <c:pt idx="9">
                  <c:v>175</c:v>
                </c:pt>
                <c:pt idx="10">
                  <c:v>180</c:v>
                </c:pt>
                <c:pt idx="11">
                  <c:v>190</c:v>
                </c:pt>
                <c:pt idx="12">
                  <c:v>185</c:v>
                </c:pt>
                <c:pt idx="13">
                  <c:v>195</c:v>
                </c:pt>
                <c:pt idx="14">
                  <c:v>205</c:v>
                </c:pt>
                <c:pt idx="15">
                  <c:v>220</c:v>
                </c:pt>
                <c:pt idx="16">
                  <c:v>215</c:v>
                </c:pt>
                <c:pt idx="17">
                  <c:v>230</c:v>
                </c:pt>
                <c:pt idx="18">
                  <c:v>240</c:v>
                </c:pt>
                <c:pt idx="19">
                  <c:v>235</c:v>
                </c:pt>
                <c:pt idx="20">
                  <c:v>240</c:v>
                </c:pt>
                <c:pt idx="21">
                  <c:v>250</c:v>
                </c:pt>
                <c:pt idx="22">
                  <c:v>245</c:v>
                </c:pt>
                <c:pt idx="23">
                  <c:v>255</c:v>
                </c:pt>
                <c:pt idx="24">
                  <c:v>265</c:v>
                </c:pt>
                <c:pt idx="25">
                  <c:v>280</c:v>
                </c:pt>
                <c:pt idx="26">
                  <c:v>275</c:v>
                </c:pt>
                <c:pt idx="27">
                  <c:v>290</c:v>
                </c:pt>
                <c:pt idx="28">
                  <c:v>300</c:v>
                </c:pt>
                <c:pt idx="2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C-49E2-8F06-A3EEECDB396C}"/>
            </c:ext>
          </c:extLst>
        </c:ser>
        <c:ser>
          <c:idx val="1"/>
          <c:order val="1"/>
          <c:tx>
            <c:strRef>
              <c:f>'DES B'!$H$5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'DES B'!$H$6:$H$35</c:f>
              <c:numCache>
                <c:formatCode>General</c:formatCode>
                <c:ptCount val="30"/>
                <c:pt idx="1">
                  <c:v>120</c:v>
                </c:pt>
                <c:pt idx="2">
                  <c:v>125.99999999999999</c:v>
                </c:pt>
                <c:pt idx="3">
                  <c:v>126.3</c:v>
                </c:pt>
                <c:pt idx="4">
                  <c:v>132.33000000000004</c:v>
                </c:pt>
                <c:pt idx="5">
                  <c:v>141.52500000000001</c:v>
                </c:pt>
                <c:pt idx="6">
                  <c:v>155.3433</c:v>
                </c:pt>
                <c:pt idx="7">
                  <c:v>159.53336999999999</c:v>
                </c:pt>
                <c:pt idx="8">
                  <c:v>170.17850100000001</c:v>
                </c:pt>
                <c:pt idx="9">
                  <c:v>181.37855010000001</c:v>
                </c:pt>
                <c:pt idx="10">
                  <c:v>183.74250464999997</c:v>
                </c:pt>
                <c:pt idx="11">
                  <c:v>187.11401696099998</c:v>
                </c:pt>
                <c:pt idx="12">
                  <c:v>194.12579646689997</c:v>
                </c:pt>
                <c:pt idx="13">
                  <c:v>194.19024674276997</c:v>
                </c:pt>
                <c:pt idx="14">
                  <c:v>199.39470517109697</c:v>
                </c:pt>
                <c:pt idx="15">
                  <c:v>207.54936633557853</c:v>
                </c:pt>
                <c:pt idx="16">
                  <c:v>220.31570733597238</c:v>
                </c:pt>
                <c:pt idx="17">
                  <c:v>223.54280076592789</c:v>
                </c:pt>
                <c:pt idx="18">
                  <c:v>233.35522447767258</c:v>
                </c:pt>
                <c:pt idx="19">
                  <c:v>243.86134189343696</c:v>
                </c:pt>
                <c:pt idx="20">
                  <c:v>245.66181865675216</c:v>
                </c:pt>
                <c:pt idx="21">
                  <c:v>248.58448859166893</c:v>
                </c:pt>
                <c:pt idx="22">
                  <c:v>255.24399288652796</c:v>
                </c:pt>
                <c:pt idx="23">
                  <c:v>255.03519063122135</c:v>
                </c:pt>
                <c:pt idx="24">
                  <c:v>260.02971036931115</c:v>
                </c:pt>
                <c:pt idx="25">
                  <c:v>268.02435110773717</c:v>
                </c:pt>
                <c:pt idx="26">
                  <c:v>280.66953346986952</c:v>
                </c:pt>
                <c:pt idx="27">
                  <c:v>283.80541481502627</c:v>
                </c:pt>
                <c:pt idx="28">
                  <c:v>293.54950934080063</c:v>
                </c:pt>
                <c:pt idx="29">
                  <c:v>304.00465981775807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C-49E2-8F06-A3EEECDB3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944335"/>
        <c:axId val="483962095"/>
      </c:lineChart>
      <c:catAx>
        <c:axId val="483944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62095"/>
        <c:crosses val="autoZero"/>
        <c:auto val="1"/>
        <c:lblAlgn val="ctr"/>
        <c:lblOffset val="100"/>
        <c:noMultiLvlLbl val="0"/>
      </c:catAx>
      <c:valAx>
        <c:axId val="483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16</xdr:row>
      <xdr:rowOff>3810</xdr:rowOff>
    </xdr:from>
    <xdr:to>
      <xdr:col>14</xdr:col>
      <xdr:colOff>441960</xdr:colOff>
      <xdr:row>31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5F932-318C-14AF-9C64-F27814700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363483</xdr:colOff>
      <xdr:row>7</xdr:row>
      <xdr:rowOff>99849</xdr:rowOff>
    </xdr:from>
    <xdr:to>
      <xdr:col>17</xdr:col>
      <xdr:colOff>30655</xdr:colOff>
      <xdr:row>22</xdr:row>
      <xdr:rowOff>84083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F305E-CB36-E591-A0C3-8B6F67A64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477174</xdr:colOff>
      <xdr:row>3</xdr:row>
      <xdr:rowOff>71021</xdr:rowOff>
    </xdr:from>
    <xdr:to>
      <xdr:col>19</xdr:col>
      <xdr:colOff>196048</xdr:colOff>
      <xdr:row>17</xdr:row>
      <xdr:rowOff>47347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5C1A6-8E20-708A-178B-DC491FA9E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1"/>
  <sheetViews>
    <sheetView topLeftCell="A12" workbookViewId="0">
      <selection activeCell="F38" sqref="F38"/>
    </sheetView>
  </sheetViews>
  <sheetFormatPr defaultRowHeight="14.4" x14ac:dyDescent="0.3"/>
  <cols>
    <col min="2" max="2" width="10.33203125" customWidth="1"/>
    <col min="3" max="3" width="10.5546875" customWidth="1"/>
  </cols>
  <sheetData>
    <row r="1" spans="2:6" x14ac:dyDescent="0.3">
      <c r="B1" t="s">
        <v>2</v>
      </c>
      <c r="C1">
        <v>5026231131</v>
      </c>
      <c r="E1" t="s">
        <v>5</v>
      </c>
      <c r="F1" t="s">
        <v>6</v>
      </c>
    </row>
    <row r="3" spans="2:6" x14ac:dyDescent="0.3">
      <c r="B3" t="s">
        <v>3</v>
      </c>
      <c r="C3">
        <v>0.3</v>
      </c>
    </row>
    <row r="4" spans="2:6" x14ac:dyDescent="0.3">
      <c r="B4" t="s">
        <v>4</v>
      </c>
      <c r="C4">
        <v>0.1</v>
      </c>
    </row>
    <row r="5" spans="2:6" x14ac:dyDescent="0.3">
      <c r="B5" s="1" t="s">
        <v>0</v>
      </c>
      <c r="C5" s="1" t="s">
        <v>1</v>
      </c>
      <c r="D5" t="s">
        <v>7</v>
      </c>
      <c r="E5" t="s">
        <v>8</v>
      </c>
      <c r="F5" t="s">
        <v>17</v>
      </c>
    </row>
    <row r="6" spans="2:6" x14ac:dyDescent="0.3">
      <c r="B6" s="2">
        <v>44562</v>
      </c>
      <c r="C6">
        <v>120</v>
      </c>
      <c r="D6">
        <v>120</v>
      </c>
      <c r="E6">
        <f>C6-D6</f>
        <v>0</v>
      </c>
      <c r="F6">
        <f>E6^2</f>
        <v>0</v>
      </c>
    </row>
    <row r="7" spans="2:6" x14ac:dyDescent="0.3">
      <c r="B7" s="2">
        <v>44593</v>
      </c>
      <c r="C7">
        <v>130</v>
      </c>
      <c r="D7">
        <f>D6+($C$3*(C6-D6))</f>
        <v>120</v>
      </c>
      <c r="E7">
        <f t="shared" ref="E7:E35" si="0">C7-D7</f>
        <v>10</v>
      </c>
      <c r="F7">
        <f t="shared" ref="F7:F35" si="1">E7^2</f>
        <v>100</v>
      </c>
    </row>
    <row r="8" spans="2:6" x14ac:dyDescent="0.3">
      <c r="B8" s="2">
        <v>44621</v>
      </c>
      <c r="C8">
        <v>125</v>
      </c>
      <c r="D8">
        <f t="shared" ref="D8:D36" si="2">D7+($C$3*(C7-D7))</f>
        <v>123</v>
      </c>
      <c r="E8">
        <f t="shared" si="0"/>
        <v>2</v>
      </c>
      <c r="F8">
        <f t="shared" si="1"/>
        <v>4</v>
      </c>
    </row>
    <row r="9" spans="2:6" x14ac:dyDescent="0.3">
      <c r="B9" s="2">
        <v>44652</v>
      </c>
      <c r="C9">
        <v>135</v>
      </c>
      <c r="D9">
        <f t="shared" si="2"/>
        <v>123.6</v>
      </c>
      <c r="E9">
        <f t="shared" si="0"/>
        <v>11.400000000000006</v>
      </c>
      <c r="F9">
        <f t="shared" si="1"/>
        <v>129.96000000000012</v>
      </c>
    </row>
    <row r="10" spans="2:6" x14ac:dyDescent="0.3">
      <c r="B10" s="2">
        <v>44682</v>
      </c>
      <c r="C10">
        <v>145</v>
      </c>
      <c r="D10">
        <f t="shared" si="2"/>
        <v>127.02</v>
      </c>
      <c r="E10">
        <f t="shared" si="0"/>
        <v>17.980000000000004</v>
      </c>
      <c r="F10">
        <f t="shared" si="1"/>
        <v>323.28040000000016</v>
      </c>
    </row>
    <row r="11" spans="2:6" x14ac:dyDescent="0.3">
      <c r="B11" s="2">
        <v>44713</v>
      </c>
      <c r="C11">
        <v>160</v>
      </c>
      <c r="D11">
        <f t="shared" si="2"/>
        <v>132.41399999999999</v>
      </c>
      <c r="E11">
        <f t="shared" si="0"/>
        <v>27.586000000000013</v>
      </c>
      <c r="F11">
        <f t="shared" si="1"/>
        <v>760.98739600000067</v>
      </c>
    </row>
    <row r="12" spans="2:6" x14ac:dyDescent="0.3">
      <c r="B12" s="2">
        <v>44743</v>
      </c>
      <c r="C12">
        <v>155</v>
      </c>
      <c r="D12">
        <f t="shared" si="2"/>
        <v>140.68979999999999</v>
      </c>
      <c r="E12">
        <f t="shared" si="0"/>
        <v>14.310200000000009</v>
      </c>
      <c r="F12">
        <f t="shared" si="1"/>
        <v>204.78182404000026</v>
      </c>
    </row>
    <row r="13" spans="2:6" x14ac:dyDescent="0.3">
      <c r="B13" s="2">
        <v>44774</v>
      </c>
      <c r="C13">
        <v>170</v>
      </c>
      <c r="D13">
        <f t="shared" si="2"/>
        <v>144.98285999999999</v>
      </c>
      <c r="E13">
        <f t="shared" si="0"/>
        <v>25.017140000000012</v>
      </c>
      <c r="F13">
        <f t="shared" si="1"/>
        <v>625.85729377960058</v>
      </c>
    </row>
    <row r="14" spans="2:6" x14ac:dyDescent="0.3">
      <c r="B14" s="2">
        <v>44805</v>
      </c>
      <c r="C14">
        <v>180</v>
      </c>
      <c r="D14">
        <f t="shared" si="2"/>
        <v>152.48800199999999</v>
      </c>
      <c r="E14">
        <f t="shared" si="0"/>
        <v>27.511998000000006</v>
      </c>
      <c r="F14">
        <f t="shared" si="1"/>
        <v>756.91003395200426</v>
      </c>
    </row>
    <row r="15" spans="2:6" x14ac:dyDescent="0.3">
      <c r="B15" s="2">
        <v>44835</v>
      </c>
      <c r="C15">
        <v>175</v>
      </c>
      <c r="D15">
        <f t="shared" si="2"/>
        <v>160.74160140000001</v>
      </c>
      <c r="E15">
        <f t="shared" si="0"/>
        <v>14.258398599999992</v>
      </c>
      <c r="F15">
        <f t="shared" si="1"/>
        <v>203.30193063648176</v>
      </c>
    </row>
    <row r="16" spans="2:6" x14ac:dyDescent="0.3">
      <c r="B16" s="2">
        <v>44866</v>
      </c>
      <c r="C16">
        <v>180</v>
      </c>
      <c r="D16">
        <f t="shared" si="2"/>
        <v>165.01912098</v>
      </c>
      <c r="E16">
        <f t="shared" si="0"/>
        <v>14.980879020000003</v>
      </c>
      <c r="F16">
        <f t="shared" si="1"/>
        <v>224.42673621187626</v>
      </c>
    </row>
    <row r="17" spans="2:6" x14ac:dyDescent="0.3">
      <c r="B17" s="2">
        <v>44896</v>
      </c>
      <c r="C17">
        <v>190</v>
      </c>
      <c r="D17">
        <f t="shared" si="2"/>
        <v>169.51338468599999</v>
      </c>
      <c r="E17">
        <f t="shared" si="0"/>
        <v>20.486615314000005</v>
      </c>
      <c r="F17">
        <f t="shared" si="1"/>
        <v>419.70140702381951</v>
      </c>
    </row>
    <row r="18" spans="2:6" x14ac:dyDescent="0.3">
      <c r="B18" s="2">
        <v>44927</v>
      </c>
      <c r="C18">
        <v>185</v>
      </c>
      <c r="D18">
        <f t="shared" si="2"/>
        <v>175.6593692802</v>
      </c>
      <c r="E18">
        <f t="shared" si="0"/>
        <v>9.3406307198000036</v>
      </c>
      <c r="F18">
        <f t="shared" si="1"/>
        <v>87.247382243671538</v>
      </c>
    </row>
    <row r="19" spans="2:6" x14ac:dyDescent="0.3">
      <c r="B19" s="2">
        <v>44958</v>
      </c>
      <c r="C19">
        <v>195</v>
      </c>
      <c r="D19">
        <f t="shared" si="2"/>
        <v>178.46155849613999</v>
      </c>
      <c r="E19">
        <f t="shared" si="0"/>
        <v>16.538441503860014</v>
      </c>
      <c r="F19">
        <f t="shared" si="1"/>
        <v>273.52004737659945</v>
      </c>
    </row>
    <row r="20" spans="2:6" x14ac:dyDescent="0.3">
      <c r="B20" s="2">
        <v>44986</v>
      </c>
      <c r="C20">
        <v>205</v>
      </c>
      <c r="D20">
        <f t="shared" si="2"/>
        <v>183.42309094729799</v>
      </c>
      <c r="E20">
        <f t="shared" si="0"/>
        <v>21.576909052702007</v>
      </c>
      <c r="F20">
        <f t="shared" si="1"/>
        <v>465.56300426857382</v>
      </c>
    </row>
    <row r="21" spans="2:6" x14ac:dyDescent="0.3">
      <c r="B21" s="2">
        <v>45017</v>
      </c>
      <c r="C21">
        <v>220</v>
      </c>
      <c r="D21">
        <f t="shared" si="2"/>
        <v>189.89616366310861</v>
      </c>
      <c r="E21">
        <f t="shared" si="0"/>
        <v>30.103836336891391</v>
      </c>
      <c r="F21">
        <f t="shared" si="1"/>
        <v>906.24096219834246</v>
      </c>
    </row>
    <row r="22" spans="2:6" x14ac:dyDescent="0.3">
      <c r="B22" s="2">
        <v>45047</v>
      </c>
      <c r="C22">
        <v>215</v>
      </c>
      <c r="D22">
        <f t="shared" si="2"/>
        <v>198.92731456417602</v>
      </c>
      <c r="E22">
        <f t="shared" si="0"/>
        <v>16.072685435823985</v>
      </c>
      <c r="F22">
        <f t="shared" si="1"/>
        <v>258.33121711894842</v>
      </c>
    </row>
    <row r="23" spans="2:6" x14ac:dyDescent="0.3">
      <c r="B23" s="2">
        <v>45078</v>
      </c>
      <c r="C23">
        <v>230</v>
      </c>
      <c r="D23">
        <f t="shared" si="2"/>
        <v>203.74912019492322</v>
      </c>
      <c r="E23">
        <f t="shared" si="0"/>
        <v>26.250879805076778</v>
      </c>
      <c r="F23">
        <f t="shared" si="1"/>
        <v>689.10869054058787</v>
      </c>
    </row>
    <row r="24" spans="2:6" x14ac:dyDescent="0.3">
      <c r="B24" s="2">
        <v>45108</v>
      </c>
      <c r="C24">
        <v>240</v>
      </c>
      <c r="D24">
        <f t="shared" si="2"/>
        <v>211.62438413644625</v>
      </c>
      <c r="E24">
        <f t="shared" si="0"/>
        <v>28.375615863553747</v>
      </c>
      <c r="F24">
        <f t="shared" si="1"/>
        <v>805.17557563596313</v>
      </c>
    </row>
    <row r="25" spans="2:6" x14ac:dyDescent="0.3">
      <c r="B25" s="2">
        <v>45139</v>
      </c>
      <c r="C25">
        <v>235</v>
      </c>
      <c r="D25">
        <f t="shared" si="2"/>
        <v>220.13706889551239</v>
      </c>
      <c r="E25">
        <f t="shared" si="0"/>
        <v>14.862931104487615</v>
      </c>
      <c r="F25">
        <f t="shared" si="1"/>
        <v>220.90672101674542</v>
      </c>
    </row>
    <row r="26" spans="2:6" x14ac:dyDescent="0.3">
      <c r="B26" s="2">
        <v>45170</v>
      </c>
      <c r="C26">
        <v>240</v>
      </c>
      <c r="D26">
        <f t="shared" si="2"/>
        <v>224.59594822685867</v>
      </c>
      <c r="E26">
        <f t="shared" si="0"/>
        <v>15.404051773141333</v>
      </c>
      <c r="F26">
        <f t="shared" si="1"/>
        <v>237.28481102961865</v>
      </c>
    </row>
    <row r="27" spans="2:6" x14ac:dyDescent="0.3">
      <c r="B27" s="2">
        <v>45200</v>
      </c>
      <c r="C27">
        <v>250</v>
      </c>
      <c r="D27">
        <f t="shared" si="2"/>
        <v>229.21716375880106</v>
      </c>
      <c r="E27">
        <f t="shared" si="0"/>
        <v>20.782836241198936</v>
      </c>
      <c r="F27">
        <f t="shared" si="1"/>
        <v>431.92628222849191</v>
      </c>
    </row>
    <row r="28" spans="2:6" x14ac:dyDescent="0.3">
      <c r="B28" s="2">
        <v>45231</v>
      </c>
      <c r="C28">
        <v>245</v>
      </c>
      <c r="D28">
        <f t="shared" si="2"/>
        <v>235.45201463116075</v>
      </c>
      <c r="E28">
        <f t="shared" si="0"/>
        <v>9.5479853688392495</v>
      </c>
      <c r="F28">
        <f t="shared" si="1"/>
        <v>91.164024603568379</v>
      </c>
    </row>
    <row r="29" spans="2:6" x14ac:dyDescent="0.3">
      <c r="B29" s="2">
        <v>45261</v>
      </c>
      <c r="C29">
        <v>255</v>
      </c>
      <c r="D29">
        <f t="shared" si="2"/>
        <v>238.31641024181252</v>
      </c>
      <c r="E29">
        <f t="shared" si="0"/>
        <v>16.68358975818748</v>
      </c>
      <c r="F29">
        <f t="shared" si="1"/>
        <v>278.34216721949821</v>
      </c>
    </row>
    <row r="30" spans="2:6" x14ac:dyDescent="0.3">
      <c r="B30" s="2">
        <v>45292</v>
      </c>
      <c r="C30">
        <v>265</v>
      </c>
      <c r="D30">
        <f t="shared" si="2"/>
        <v>243.32148716926878</v>
      </c>
      <c r="E30">
        <f t="shared" si="0"/>
        <v>21.678512830731222</v>
      </c>
      <c r="F30">
        <f t="shared" si="1"/>
        <v>469.95791855217823</v>
      </c>
    </row>
    <row r="31" spans="2:6" x14ac:dyDescent="0.3">
      <c r="B31" s="2">
        <v>45323</v>
      </c>
      <c r="C31">
        <v>280</v>
      </c>
      <c r="D31">
        <f t="shared" si="2"/>
        <v>249.82504101848815</v>
      </c>
      <c r="E31">
        <f t="shared" si="0"/>
        <v>30.17495898151185</v>
      </c>
      <c r="F31">
        <f t="shared" si="1"/>
        <v>910.52814953592269</v>
      </c>
    </row>
    <row r="32" spans="2:6" x14ac:dyDescent="0.3">
      <c r="B32" s="2">
        <v>45352</v>
      </c>
      <c r="C32">
        <v>275</v>
      </c>
      <c r="D32">
        <f t="shared" si="2"/>
        <v>258.87752871294168</v>
      </c>
      <c r="E32">
        <f t="shared" si="0"/>
        <v>16.122471287058318</v>
      </c>
      <c r="F32">
        <f t="shared" si="1"/>
        <v>259.9340804020199</v>
      </c>
    </row>
    <row r="33" spans="2:6" x14ac:dyDescent="0.3">
      <c r="B33" s="2">
        <v>45383</v>
      </c>
      <c r="C33">
        <v>290</v>
      </c>
      <c r="D33">
        <f t="shared" si="2"/>
        <v>263.71427009905915</v>
      </c>
      <c r="E33">
        <f t="shared" si="0"/>
        <v>26.285729900940851</v>
      </c>
      <c r="F33">
        <f t="shared" si="1"/>
        <v>690.93959642521588</v>
      </c>
    </row>
    <row r="34" spans="2:6" x14ac:dyDescent="0.3">
      <c r="B34" s="2">
        <v>45413</v>
      </c>
      <c r="C34">
        <v>300</v>
      </c>
      <c r="D34">
        <f t="shared" si="2"/>
        <v>271.5999890693414</v>
      </c>
      <c r="E34">
        <f t="shared" si="0"/>
        <v>28.400010930658595</v>
      </c>
      <c r="F34">
        <f t="shared" si="1"/>
        <v>806.5606208615277</v>
      </c>
    </row>
    <row r="35" spans="2:6" x14ac:dyDescent="0.3">
      <c r="B35" s="2">
        <v>45444</v>
      </c>
      <c r="C35">
        <v>295</v>
      </c>
      <c r="D35">
        <f t="shared" si="2"/>
        <v>280.11999234853897</v>
      </c>
      <c r="E35">
        <f t="shared" si="0"/>
        <v>14.880007651461028</v>
      </c>
      <c r="F35">
        <f t="shared" si="1"/>
        <v>221.41462770753876</v>
      </c>
    </row>
    <row r="36" spans="2:6" x14ac:dyDescent="0.3">
      <c r="B36" s="2">
        <v>45474</v>
      </c>
      <c r="D36" s="3">
        <f t="shared" si="2"/>
        <v>284.58399464397729</v>
      </c>
    </row>
    <row r="37" spans="2:6" x14ac:dyDescent="0.3">
      <c r="B37" s="2"/>
      <c r="E37" t="s">
        <v>16</v>
      </c>
      <c r="F37">
        <f>SUM(F6:F35)</f>
        <v>11857.352900608796</v>
      </c>
    </row>
    <row r="38" spans="2:6" x14ac:dyDescent="0.3">
      <c r="B38" s="2"/>
    </row>
    <row r="39" spans="2:6" x14ac:dyDescent="0.3">
      <c r="B39" s="2"/>
    </row>
    <row r="40" spans="2:6" x14ac:dyDescent="0.3">
      <c r="B40" s="2"/>
    </row>
    <row r="41" spans="2:6" x14ac:dyDescent="0.3">
      <c r="B4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704E-F595-4AC4-AAE5-8667A8EAB044}">
  <dimension ref="B1:H38"/>
  <sheetViews>
    <sheetView topLeftCell="A31" zoomScale="87" workbookViewId="0">
      <selection activeCell="H5" sqref="H5"/>
    </sheetView>
  </sheetViews>
  <sheetFormatPr defaultRowHeight="14.4" x14ac:dyDescent="0.3"/>
  <sheetData>
    <row r="1" spans="2:8" x14ac:dyDescent="0.3">
      <c r="B1" t="s">
        <v>2</v>
      </c>
      <c r="C1">
        <v>5026231131</v>
      </c>
      <c r="E1" t="s">
        <v>5</v>
      </c>
      <c r="F1" t="s">
        <v>6</v>
      </c>
    </row>
    <row r="3" spans="2:8" x14ac:dyDescent="0.3">
      <c r="B3" t="s">
        <v>3</v>
      </c>
      <c r="C3">
        <v>0.3</v>
      </c>
    </row>
    <row r="4" spans="2:8" x14ac:dyDescent="0.3">
      <c r="B4" t="s">
        <v>4</v>
      </c>
      <c r="C4">
        <v>0.1</v>
      </c>
    </row>
    <row r="5" spans="2:8" ht="28.8" x14ac:dyDescent="0.3">
      <c r="B5" s="1" t="s">
        <v>0</v>
      </c>
      <c r="C5" s="1" t="s">
        <v>1</v>
      </c>
      <c r="D5" t="s">
        <v>9</v>
      </c>
      <c r="E5" t="s">
        <v>10</v>
      </c>
      <c r="F5" t="s">
        <v>7</v>
      </c>
      <c r="G5" t="s">
        <v>11</v>
      </c>
      <c r="H5" t="s">
        <v>17</v>
      </c>
    </row>
    <row r="6" spans="2:8" x14ac:dyDescent="0.3">
      <c r="B6" s="2">
        <v>44562</v>
      </c>
      <c r="C6">
        <v>120</v>
      </c>
      <c r="D6">
        <v>120</v>
      </c>
      <c r="E6">
        <v>10</v>
      </c>
    </row>
    <row r="7" spans="2:8" x14ac:dyDescent="0.3">
      <c r="B7" s="2">
        <v>44593</v>
      </c>
      <c r="C7">
        <v>130</v>
      </c>
      <c r="D7">
        <f>$C$3*(C7)+(1-$C$3)*(D6+E6)</f>
        <v>130</v>
      </c>
      <c r="E7">
        <f>$C$4*(D7-D6)+(1-$C$4)*(E6)</f>
        <v>10</v>
      </c>
      <c r="F7">
        <f>D6+E6*1</f>
        <v>130</v>
      </c>
      <c r="G7">
        <f>C7-F7</f>
        <v>0</v>
      </c>
      <c r="H7">
        <f>G7^2</f>
        <v>0</v>
      </c>
    </row>
    <row r="8" spans="2:8" x14ac:dyDescent="0.3">
      <c r="B8" s="2">
        <v>44621</v>
      </c>
      <c r="C8">
        <v>125</v>
      </c>
      <c r="D8">
        <f t="shared" ref="D8:D35" si="0">$C$3*(C8) +(1-$C$3)*(D7+E7)</f>
        <v>135.5</v>
      </c>
      <c r="E8">
        <f t="shared" ref="E8:E35" si="1">$C$4*(D8-D7)+(1-$C$4)*(E7)</f>
        <v>9.5500000000000007</v>
      </c>
      <c r="F8">
        <f t="shared" ref="F8:F35" si="2">D7+E7*1</f>
        <v>140</v>
      </c>
      <c r="G8">
        <f t="shared" ref="G8:G35" si="3">C8-F8</f>
        <v>-15</v>
      </c>
      <c r="H8">
        <f t="shared" ref="H8:H35" si="4">G8^2</f>
        <v>225</v>
      </c>
    </row>
    <row r="9" spans="2:8" x14ac:dyDescent="0.3">
      <c r="B9" s="2">
        <v>44652</v>
      </c>
      <c r="C9">
        <v>135</v>
      </c>
      <c r="D9">
        <f t="shared" si="0"/>
        <v>142.035</v>
      </c>
      <c r="E9">
        <f t="shared" si="1"/>
        <v>9.2484999999999999</v>
      </c>
      <c r="F9">
        <f t="shared" si="2"/>
        <v>145.05000000000001</v>
      </c>
      <c r="G9">
        <f t="shared" si="3"/>
        <v>-10.050000000000011</v>
      </c>
      <c r="H9">
        <f t="shared" si="4"/>
        <v>101.00250000000023</v>
      </c>
    </row>
    <row r="10" spans="2:8" x14ac:dyDescent="0.3">
      <c r="B10" s="2">
        <v>44682</v>
      </c>
      <c r="C10">
        <v>145</v>
      </c>
      <c r="D10">
        <f t="shared" si="0"/>
        <v>149.39845</v>
      </c>
      <c r="E10">
        <f t="shared" si="1"/>
        <v>9.0599950000000007</v>
      </c>
      <c r="F10">
        <f t="shared" si="2"/>
        <v>151.2835</v>
      </c>
      <c r="G10">
        <f t="shared" si="3"/>
        <v>-6.2835000000000036</v>
      </c>
      <c r="H10">
        <f t="shared" si="4"/>
        <v>39.482372250000047</v>
      </c>
    </row>
    <row r="11" spans="2:8" x14ac:dyDescent="0.3">
      <c r="B11" s="2">
        <v>44713</v>
      </c>
      <c r="C11">
        <v>160</v>
      </c>
      <c r="D11">
        <f t="shared" si="0"/>
        <v>158.92091149999999</v>
      </c>
      <c r="E11">
        <f t="shared" si="1"/>
        <v>9.1062416499999994</v>
      </c>
      <c r="F11">
        <f t="shared" si="2"/>
        <v>158.45844499999998</v>
      </c>
      <c r="G11">
        <f t="shared" si="3"/>
        <v>1.5415550000000167</v>
      </c>
      <c r="H11">
        <f t="shared" si="4"/>
        <v>2.3763918180250512</v>
      </c>
    </row>
    <row r="12" spans="2:8" x14ac:dyDescent="0.3">
      <c r="B12" s="2">
        <v>44743</v>
      </c>
      <c r="C12">
        <v>155</v>
      </c>
      <c r="D12">
        <f t="shared" si="0"/>
        <v>164.11900720499997</v>
      </c>
      <c r="E12">
        <f t="shared" si="1"/>
        <v>8.7154270554999975</v>
      </c>
      <c r="F12">
        <f t="shared" si="2"/>
        <v>168.02715314999998</v>
      </c>
      <c r="G12">
        <f t="shared" si="3"/>
        <v>-13.027153149999975</v>
      </c>
      <c r="H12">
        <f t="shared" si="4"/>
        <v>169.70671919355428</v>
      </c>
    </row>
    <row r="13" spans="2:8" x14ac:dyDescent="0.3">
      <c r="B13" s="2">
        <v>44774</v>
      </c>
      <c r="C13">
        <v>170</v>
      </c>
      <c r="D13">
        <f t="shared" si="0"/>
        <v>171.98410398234995</v>
      </c>
      <c r="E13">
        <f t="shared" si="1"/>
        <v>8.6303940276849964</v>
      </c>
      <c r="F13">
        <f t="shared" si="2"/>
        <v>172.83443426049996</v>
      </c>
      <c r="G13">
        <f t="shared" si="3"/>
        <v>-2.8344342604999611</v>
      </c>
      <c r="H13">
        <f t="shared" si="4"/>
        <v>8.0340175770959608</v>
      </c>
    </row>
    <row r="14" spans="2:8" x14ac:dyDescent="0.3">
      <c r="B14" s="2">
        <v>44805</v>
      </c>
      <c r="C14">
        <v>180</v>
      </c>
      <c r="D14">
        <f t="shared" si="0"/>
        <v>180.43014860702445</v>
      </c>
      <c r="E14">
        <f t="shared" si="1"/>
        <v>8.6119590873839478</v>
      </c>
      <c r="F14">
        <f t="shared" si="2"/>
        <v>180.61449801003494</v>
      </c>
      <c r="G14">
        <f t="shared" si="3"/>
        <v>-0.61449801003493576</v>
      </c>
      <c r="H14">
        <f t="shared" si="4"/>
        <v>0.377607804336896</v>
      </c>
    </row>
    <row r="15" spans="2:8" x14ac:dyDescent="0.3">
      <c r="B15" s="2">
        <v>44835</v>
      </c>
      <c r="C15">
        <v>175</v>
      </c>
      <c r="D15">
        <f t="shared" si="0"/>
        <v>184.82947538608587</v>
      </c>
      <c r="E15">
        <f t="shared" si="1"/>
        <v>8.1906958565516952</v>
      </c>
      <c r="F15">
        <f t="shared" si="2"/>
        <v>189.0421076944084</v>
      </c>
      <c r="G15">
        <f t="shared" si="3"/>
        <v>-14.042107694408401</v>
      </c>
      <c r="H15">
        <f t="shared" si="4"/>
        <v>197.18078850136362</v>
      </c>
    </row>
    <row r="16" spans="2:8" x14ac:dyDescent="0.3">
      <c r="B16" s="2">
        <v>44866</v>
      </c>
      <c r="C16">
        <v>180</v>
      </c>
      <c r="D16">
        <f t="shared" si="0"/>
        <v>189.11411986984629</v>
      </c>
      <c r="E16">
        <f t="shared" si="1"/>
        <v>7.8000907192725677</v>
      </c>
      <c r="F16">
        <f t="shared" si="2"/>
        <v>193.02017124263756</v>
      </c>
      <c r="G16">
        <f t="shared" si="3"/>
        <v>-13.020171242637559</v>
      </c>
      <c r="H16">
        <f t="shared" si="4"/>
        <v>169.5248591876061</v>
      </c>
    </row>
    <row r="17" spans="2:8" x14ac:dyDescent="0.3">
      <c r="B17" s="2">
        <v>44896</v>
      </c>
      <c r="C17">
        <v>190</v>
      </c>
      <c r="D17">
        <f t="shared" si="0"/>
        <v>194.8399474123832</v>
      </c>
      <c r="E17">
        <f t="shared" si="1"/>
        <v>7.5926644015990012</v>
      </c>
      <c r="F17">
        <f t="shared" si="2"/>
        <v>196.91421058911885</v>
      </c>
      <c r="G17">
        <f t="shared" si="3"/>
        <v>-6.9142105891188521</v>
      </c>
      <c r="H17">
        <f t="shared" si="4"/>
        <v>47.806308070683265</v>
      </c>
    </row>
    <row r="18" spans="2:8" x14ac:dyDescent="0.3">
      <c r="B18" s="2">
        <v>44927</v>
      </c>
      <c r="C18">
        <v>185</v>
      </c>
      <c r="D18">
        <f t="shared" si="0"/>
        <v>197.20282826978752</v>
      </c>
      <c r="E18">
        <f t="shared" si="1"/>
        <v>7.0696860471795331</v>
      </c>
      <c r="F18">
        <f t="shared" si="2"/>
        <v>202.43261181398219</v>
      </c>
      <c r="G18">
        <f t="shared" si="3"/>
        <v>-17.432611813982192</v>
      </c>
      <c r="H18">
        <f t="shared" si="4"/>
        <v>303.89595465699148</v>
      </c>
    </row>
    <row r="19" spans="2:8" x14ac:dyDescent="0.3">
      <c r="B19" s="2">
        <v>44958</v>
      </c>
      <c r="C19">
        <v>195</v>
      </c>
      <c r="D19">
        <f t="shared" si="0"/>
        <v>201.49076002187692</v>
      </c>
      <c r="E19">
        <f t="shared" si="1"/>
        <v>6.7915106176705207</v>
      </c>
      <c r="F19">
        <f t="shared" si="2"/>
        <v>204.27251431696706</v>
      </c>
      <c r="G19">
        <f t="shared" si="3"/>
        <v>-9.2725143169670616</v>
      </c>
      <c r="H19">
        <f t="shared" si="4"/>
        <v>85.979521758359127</v>
      </c>
    </row>
    <row r="20" spans="2:8" x14ac:dyDescent="0.3">
      <c r="B20" s="2">
        <v>44986</v>
      </c>
      <c r="C20">
        <v>205</v>
      </c>
      <c r="D20">
        <f t="shared" si="0"/>
        <v>207.29758944768321</v>
      </c>
      <c r="E20">
        <f t="shared" si="1"/>
        <v>6.6930424984840968</v>
      </c>
      <c r="F20">
        <f t="shared" si="2"/>
        <v>208.28227063954745</v>
      </c>
      <c r="G20">
        <f t="shared" si="3"/>
        <v>-3.2822706395474484</v>
      </c>
      <c r="H20">
        <f t="shared" si="4"/>
        <v>10.773300551235216</v>
      </c>
    </row>
    <row r="21" spans="2:8" x14ac:dyDescent="0.3">
      <c r="B21" s="2">
        <v>45017</v>
      </c>
      <c r="C21">
        <v>220</v>
      </c>
      <c r="D21">
        <f t="shared" si="0"/>
        <v>215.79344236231711</v>
      </c>
      <c r="E21">
        <f t="shared" si="1"/>
        <v>6.8733235400990775</v>
      </c>
      <c r="F21">
        <f t="shared" si="2"/>
        <v>213.9906319461673</v>
      </c>
      <c r="G21">
        <f t="shared" si="3"/>
        <v>6.0093680538327021</v>
      </c>
      <c r="H21">
        <f t="shared" si="4"/>
        <v>36.112504406425039</v>
      </c>
    </row>
    <row r="22" spans="2:8" x14ac:dyDescent="0.3">
      <c r="B22" s="2">
        <v>45047</v>
      </c>
      <c r="C22">
        <v>215</v>
      </c>
      <c r="D22">
        <f t="shared" si="0"/>
        <v>220.36673613169131</v>
      </c>
      <c r="E22">
        <f t="shared" si="1"/>
        <v>6.6433205630265908</v>
      </c>
      <c r="F22">
        <f t="shared" si="2"/>
        <v>222.66676590241619</v>
      </c>
      <c r="G22">
        <f t="shared" si="3"/>
        <v>-7.6667659024161878</v>
      </c>
      <c r="H22">
        <f t="shared" si="4"/>
        <v>58.7792994024515</v>
      </c>
    </row>
    <row r="23" spans="2:8" x14ac:dyDescent="0.3">
      <c r="B23" s="2">
        <v>45078</v>
      </c>
      <c r="C23">
        <v>230</v>
      </c>
      <c r="D23">
        <f t="shared" si="0"/>
        <v>227.90703968630251</v>
      </c>
      <c r="E23">
        <f t="shared" si="1"/>
        <v>6.7330188621850517</v>
      </c>
      <c r="F23">
        <f t="shared" si="2"/>
        <v>227.01005669471789</v>
      </c>
      <c r="G23">
        <f t="shared" si="3"/>
        <v>2.9899433052821109</v>
      </c>
      <c r="H23">
        <f t="shared" si="4"/>
        <v>8.9397609688013144</v>
      </c>
    </row>
    <row r="24" spans="2:8" x14ac:dyDescent="0.3">
      <c r="B24" s="2">
        <v>45108</v>
      </c>
      <c r="C24">
        <v>240</v>
      </c>
      <c r="D24">
        <f t="shared" si="0"/>
        <v>236.24804098394128</v>
      </c>
      <c r="E24">
        <f t="shared" si="1"/>
        <v>6.8938171057304238</v>
      </c>
      <c r="F24">
        <f t="shared" si="2"/>
        <v>234.64005854848756</v>
      </c>
      <c r="G24">
        <f t="shared" si="3"/>
        <v>5.3599414515124408</v>
      </c>
      <c r="H24">
        <f t="shared" si="4"/>
        <v>28.72897236364129</v>
      </c>
    </row>
    <row r="25" spans="2:8" x14ac:dyDescent="0.3">
      <c r="B25" s="2">
        <v>45139</v>
      </c>
      <c r="C25">
        <v>235</v>
      </c>
      <c r="D25">
        <f t="shared" si="0"/>
        <v>240.69930066277018</v>
      </c>
      <c r="E25">
        <f t="shared" si="1"/>
        <v>6.6495613630402719</v>
      </c>
      <c r="F25">
        <f t="shared" si="2"/>
        <v>243.1418580896717</v>
      </c>
      <c r="G25">
        <f t="shared" si="3"/>
        <v>-8.1418580896717003</v>
      </c>
      <c r="H25">
        <f t="shared" si="4"/>
        <v>66.289853152352507</v>
      </c>
    </row>
    <row r="26" spans="2:8" x14ac:dyDescent="0.3">
      <c r="B26" s="2">
        <v>45170</v>
      </c>
      <c r="C26">
        <v>240</v>
      </c>
      <c r="D26">
        <f t="shared" si="0"/>
        <v>245.14420341806732</v>
      </c>
      <c r="E26">
        <f t="shared" si="1"/>
        <v>6.4290955022659588</v>
      </c>
      <c r="F26">
        <f t="shared" si="2"/>
        <v>247.34886202581046</v>
      </c>
      <c r="G26">
        <f t="shared" si="3"/>
        <v>-7.3488620258104618</v>
      </c>
      <c r="H26">
        <f t="shared" si="4"/>
        <v>54.005773074399045</v>
      </c>
    </row>
    <row r="27" spans="2:8" x14ac:dyDescent="0.3">
      <c r="B27" s="2">
        <v>45200</v>
      </c>
      <c r="C27">
        <v>250</v>
      </c>
      <c r="D27">
        <f t="shared" si="0"/>
        <v>251.10130924423328</v>
      </c>
      <c r="E27">
        <f t="shared" si="1"/>
        <v>6.3818965346559589</v>
      </c>
      <c r="F27">
        <f t="shared" si="2"/>
        <v>251.57329892033329</v>
      </c>
      <c r="G27">
        <f t="shared" si="3"/>
        <v>-1.5732989203332863</v>
      </c>
      <c r="H27">
        <f t="shared" si="4"/>
        <v>2.4752694927218846</v>
      </c>
    </row>
    <row r="28" spans="2:8" x14ac:dyDescent="0.3">
      <c r="B28" s="2">
        <v>45231</v>
      </c>
      <c r="C28">
        <v>245</v>
      </c>
      <c r="D28">
        <f t="shared" si="0"/>
        <v>253.73824404522244</v>
      </c>
      <c r="E28">
        <f t="shared" si="1"/>
        <v>6.0074003612892799</v>
      </c>
      <c r="F28">
        <f t="shared" si="2"/>
        <v>257.48320577888921</v>
      </c>
      <c r="G28">
        <f t="shared" si="3"/>
        <v>-12.483205778889214</v>
      </c>
      <c r="H28">
        <f t="shared" si="4"/>
        <v>155.83042651809308</v>
      </c>
    </row>
    <row r="29" spans="2:8" x14ac:dyDescent="0.3">
      <c r="B29" s="2">
        <v>45261</v>
      </c>
      <c r="C29">
        <v>255</v>
      </c>
      <c r="D29">
        <f t="shared" si="0"/>
        <v>258.32195108455818</v>
      </c>
      <c r="E29">
        <f t="shared" si="1"/>
        <v>5.8650310290939256</v>
      </c>
      <c r="F29">
        <f t="shared" si="2"/>
        <v>259.7456444065117</v>
      </c>
      <c r="G29">
        <f t="shared" si="3"/>
        <v>-4.7456444065117012</v>
      </c>
      <c r="H29">
        <f t="shared" si="4"/>
        <v>22.521140833055796</v>
      </c>
    </row>
    <row r="30" spans="2:8" x14ac:dyDescent="0.3">
      <c r="B30" s="2">
        <v>45292</v>
      </c>
      <c r="C30">
        <v>265</v>
      </c>
      <c r="D30">
        <f t="shared" si="0"/>
        <v>264.43088747955647</v>
      </c>
      <c r="E30">
        <f t="shared" si="1"/>
        <v>5.8894215656843629</v>
      </c>
      <c r="F30">
        <f t="shared" si="2"/>
        <v>264.18698211365211</v>
      </c>
      <c r="G30">
        <f t="shared" si="3"/>
        <v>0.81301788634789318</v>
      </c>
      <c r="H30">
        <f t="shared" si="4"/>
        <v>0.66099808352159573</v>
      </c>
    </row>
    <row r="31" spans="2:8" x14ac:dyDescent="0.3">
      <c r="B31" s="2">
        <v>45323</v>
      </c>
      <c r="C31">
        <v>280</v>
      </c>
      <c r="D31">
        <f t="shared" si="0"/>
        <v>273.22421633166857</v>
      </c>
      <c r="E31">
        <f t="shared" si="1"/>
        <v>6.179812294327137</v>
      </c>
      <c r="F31">
        <f t="shared" si="2"/>
        <v>270.32030904524083</v>
      </c>
      <c r="G31">
        <f t="shared" si="3"/>
        <v>9.6796909547591667</v>
      </c>
      <c r="H31">
        <f t="shared" si="4"/>
        <v>93.696416979646429</v>
      </c>
    </row>
    <row r="32" spans="2:8" x14ac:dyDescent="0.3">
      <c r="B32" s="2">
        <v>45352</v>
      </c>
      <c r="C32">
        <v>275</v>
      </c>
      <c r="D32">
        <f t="shared" si="0"/>
        <v>278.08282003819699</v>
      </c>
      <c r="E32">
        <f t="shared" si="1"/>
        <v>6.0476914355472653</v>
      </c>
      <c r="F32">
        <f t="shared" si="2"/>
        <v>279.40402862599569</v>
      </c>
      <c r="G32">
        <f t="shared" si="3"/>
        <v>-4.4040286259956929</v>
      </c>
      <c r="H32">
        <f t="shared" si="4"/>
        <v>19.395468138589511</v>
      </c>
    </row>
    <row r="33" spans="2:8" x14ac:dyDescent="0.3">
      <c r="B33" s="2">
        <v>45383</v>
      </c>
      <c r="C33">
        <v>290</v>
      </c>
      <c r="D33">
        <f t="shared" si="0"/>
        <v>285.89135803162094</v>
      </c>
      <c r="E33">
        <f t="shared" si="1"/>
        <v>6.2237760913349343</v>
      </c>
      <c r="F33">
        <f t="shared" si="2"/>
        <v>284.13051147374426</v>
      </c>
      <c r="G33">
        <f t="shared" si="3"/>
        <v>5.8694885262557364</v>
      </c>
      <c r="H33">
        <f t="shared" si="4"/>
        <v>34.450895559847737</v>
      </c>
    </row>
    <row r="34" spans="2:8" x14ac:dyDescent="0.3">
      <c r="B34" s="2">
        <v>45413</v>
      </c>
      <c r="C34">
        <v>300</v>
      </c>
      <c r="D34">
        <f t="shared" si="0"/>
        <v>294.48059388606907</v>
      </c>
      <c r="E34">
        <f t="shared" si="1"/>
        <v>6.4603220676462545</v>
      </c>
      <c r="F34">
        <f t="shared" si="2"/>
        <v>292.11513412295585</v>
      </c>
      <c r="G34">
        <f t="shared" si="3"/>
        <v>7.8848658770441489</v>
      </c>
      <c r="H34">
        <f t="shared" si="4"/>
        <v>62.171109898975196</v>
      </c>
    </row>
    <row r="35" spans="2:8" x14ac:dyDescent="0.3">
      <c r="B35" s="2">
        <v>45444</v>
      </c>
      <c r="C35">
        <v>295</v>
      </c>
      <c r="D35">
        <f t="shared" si="0"/>
        <v>299.15864116760071</v>
      </c>
      <c r="E35">
        <f t="shared" si="1"/>
        <v>6.2820945890347932</v>
      </c>
      <c r="F35">
        <f t="shared" si="2"/>
        <v>300.94091595371532</v>
      </c>
      <c r="G35">
        <f t="shared" si="3"/>
        <v>-5.9409159537153187</v>
      </c>
      <c r="H35">
        <f t="shared" si="4"/>
        <v>35.294482369109197</v>
      </c>
    </row>
    <row r="36" spans="2:8" x14ac:dyDescent="0.3">
      <c r="B36" s="2"/>
      <c r="F36" s="3">
        <f>D35+E35*1</f>
        <v>305.44073575663549</v>
      </c>
    </row>
    <row r="37" spans="2:8" x14ac:dyDescent="0.3">
      <c r="B37" s="2"/>
    </row>
    <row r="38" spans="2:8" x14ac:dyDescent="0.3">
      <c r="B38" s="2"/>
      <c r="G38" t="s">
        <v>16</v>
      </c>
      <c r="H38">
        <f>SUM(H7:H35)</f>
        <v>2040.4927126108823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6E6C-139D-4D1A-B7F6-A3A485F4CD45}">
  <dimension ref="B1:J38"/>
  <sheetViews>
    <sheetView tabSelected="1" topLeftCell="A4" zoomScale="103" workbookViewId="0">
      <selection activeCell="H36" sqref="H36"/>
    </sheetView>
  </sheetViews>
  <sheetFormatPr defaultRowHeight="14.4" x14ac:dyDescent="0.3"/>
  <sheetData>
    <row r="1" spans="2:10" x14ac:dyDescent="0.3">
      <c r="B1" t="s">
        <v>2</v>
      </c>
      <c r="C1">
        <v>5026231131</v>
      </c>
      <c r="E1" t="s">
        <v>5</v>
      </c>
      <c r="F1" t="s">
        <v>6</v>
      </c>
    </row>
    <row r="3" spans="2:10" x14ac:dyDescent="0.3">
      <c r="B3" t="s">
        <v>3</v>
      </c>
      <c r="C3">
        <v>0.3</v>
      </c>
    </row>
    <row r="4" spans="2:10" x14ac:dyDescent="0.3">
      <c r="B4" t="s">
        <v>4</v>
      </c>
      <c r="C4">
        <v>0.1</v>
      </c>
    </row>
    <row r="5" spans="2:10" ht="28.8" x14ac:dyDescent="0.3">
      <c r="B5" s="1" t="s">
        <v>0</v>
      </c>
      <c r="C5" s="1" t="s">
        <v>1</v>
      </c>
      <c r="D5" t="s">
        <v>9</v>
      </c>
      <c r="E5" t="s">
        <v>12</v>
      </c>
      <c r="F5" t="s">
        <v>13</v>
      </c>
      <c r="G5" t="s">
        <v>14</v>
      </c>
      <c r="H5" t="s">
        <v>7</v>
      </c>
      <c r="I5" t="s">
        <v>11</v>
      </c>
      <c r="J5" t="s">
        <v>15</v>
      </c>
    </row>
    <row r="6" spans="2:10" x14ac:dyDescent="0.3">
      <c r="B6" s="2">
        <v>44562</v>
      </c>
      <c r="C6">
        <v>120</v>
      </c>
      <c r="D6">
        <v>120</v>
      </c>
      <c r="E6">
        <v>120</v>
      </c>
      <c r="F6">
        <f>2*D6-E6</f>
        <v>120</v>
      </c>
      <c r="G6">
        <f>($C$3/(1-$C$3))*(D6-E6)</f>
        <v>0</v>
      </c>
    </row>
    <row r="7" spans="2:10" x14ac:dyDescent="0.3">
      <c r="B7" s="2">
        <v>44593</v>
      </c>
      <c r="C7">
        <v>130</v>
      </c>
      <c r="D7">
        <f>$C$3*C7+(1-$C$3)*D6</f>
        <v>123</v>
      </c>
      <c r="E7">
        <f>$C$3*(D7)+(1-$C$3)*E6</f>
        <v>120.9</v>
      </c>
      <c r="F7">
        <f t="shared" ref="F7:F34" si="0">2*D7-E7</f>
        <v>125.1</v>
      </c>
      <c r="G7">
        <f t="shared" ref="G7:G35" si="1">($C$3/(1-$C$3))*(D7-E7)</f>
        <v>0.89999999999999758</v>
      </c>
      <c r="H7">
        <f>F6+G6</f>
        <v>120</v>
      </c>
      <c r="I7">
        <f>C7-H7</f>
        <v>10</v>
      </c>
      <c r="J7">
        <f>I7^2</f>
        <v>100</v>
      </c>
    </row>
    <row r="8" spans="2:10" x14ac:dyDescent="0.3">
      <c r="B8" s="2">
        <v>44621</v>
      </c>
      <c r="C8">
        <v>125</v>
      </c>
      <c r="D8">
        <f t="shared" ref="D8:D35" si="2">$C$3*C8+(1-$C$3)*D7</f>
        <v>123.6</v>
      </c>
      <c r="E8">
        <f t="shared" ref="E8:E35" si="3">$C$3*(D8)+(1-$C$3)*E7</f>
        <v>121.71</v>
      </c>
      <c r="F8">
        <f t="shared" si="0"/>
        <v>125.49</v>
      </c>
      <c r="G8">
        <f t="shared" si="1"/>
        <v>0.81000000000000028</v>
      </c>
      <c r="H8">
        <f t="shared" ref="H8:H36" si="4">F7+G7</f>
        <v>125.99999999999999</v>
      </c>
      <c r="I8">
        <f t="shared" ref="I8:I35" si="5">C8-H8</f>
        <v>-0.99999999999998579</v>
      </c>
      <c r="J8">
        <f t="shared" ref="J8:J35" si="6">I8^2</f>
        <v>0.99999999999997158</v>
      </c>
    </row>
    <row r="9" spans="2:10" x14ac:dyDescent="0.3">
      <c r="B9" s="2">
        <v>44652</v>
      </c>
      <c r="C9">
        <v>135</v>
      </c>
      <c r="D9">
        <f t="shared" si="2"/>
        <v>127.02</v>
      </c>
      <c r="E9">
        <f t="shared" si="3"/>
        <v>123.30299999999998</v>
      </c>
      <c r="F9">
        <f t="shared" si="0"/>
        <v>130.73700000000002</v>
      </c>
      <c r="G9">
        <f t="shared" si="1"/>
        <v>1.5930000000000057</v>
      </c>
      <c r="H9">
        <f t="shared" si="4"/>
        <v>126.3</v>
      </c>
      <c r="I9">
        <f t="shared" si="5"/>
        <v>8.7000000000000028</v>
      </c>
      <c r="J9">
        <f t="shared" si="6"/>
        <v>75.690000000000055</v>
      </c>
    </row>
    <row r="10" spans="2:10" x14ac:dyDescent="0.3">
      <c r="B10" s="2">
        <v>44682</v>
      </c>
      <c r="C10">
        <v>145</v>
      </c>
      <c r="D10">
        <f t="shared" si="2"/>
        <v>132.41399999999999</v>
      </c>
      <c r="E10">
        <f t="shared" si="3"/>
        <v>126.03629999999998</v>
      </c>
      <c r="F10">
        <f t="shared" si="0"/>
        <v>138.79169999999999</v>
      </c>
      <c r="G10">
        <f t="shared" si="1"/>
        <v>2.7333000000000021</v>
      </c>
      <c r="H10">
        <f t="shared" si="4"/>
        <v>132.33000000000004</v>
      </c>
      <c r="I10">
        <f t="shared" si="5"/>
        <v>12.669999999999959</v>
      </c>
      <c r="J10">
        <f t="shared" si="6"/>
        <v>160.52889999999897</v>
      </c>
    </row>
    <row r="11" spans="2:10" x14ac:dyDescent="0.3">
      <c r="B11" s="2">
        <v>44713</v>
      </c>
      <c r="C11">
        <v>160</v>
      </c>
      <c r="D11">
        <f t="shared" si="2"/>
        <v>140.68979999999999</v>
      </c>
      <c r="E11">
        <f t="shared" si="3"/>
        <v>130.43234999999999</v>
      </c>
      <c r="F11">
        <f t="shared" si="0"/>
        <v>150.94725</v>
      </c>
      <c r="G11">
        <f t="shared" si="1"/>
        <v>4.3960500000000025</v>
      </c>
      <c r="H11">
        <f t="shared" si="4"/>
        <v>141.52500000000001</v>
      </c>
      <c r="I11">
        <f t="shared" si="5"/>
        <v>18.474999999999994</v>
      </c>
      <c r="J11">
        <f t="shared" si="6"/>
        <v>341.32562499999977</v>
      </c>
    </row>
    <row r="12" spans="2:10" x14ac:dyDescent="0.3">
      <c r="B12" s="2">
        <v>44743</v>
      </c>
      <c r="C12">
        <v>155</v>
      </c>
      <c r="D12">
        <f t="shared" si="2"/>
        <v>144.98285999999999</v>
      </c>
      <c r="E12">
        <f t="shared" si="3"/>
        <v>134.79750299999998</v>
      </c>
      <c r="F12">
        <f t="shared" si="0"/>
        <v>155.168217</v>
      </c>
      <c r="G12">
        <f t="shared" si="1"/>
        <v>4.3651530000000047</v>
      </c>
      <c r="H12">
        <f t="shared" si="4"/>
        <v>155.3433</v>
      </c>
      <c r="I12">
        <f t="shared" si="5"/>
        <v>-0.34329999999999927</v>
      </c>
      <c r="J12">
        <f t="shared" si="6"/>
        <v>0.1178548899999995</v>
      </c>
    </row>
    <row r="13" spans="2:10" x14ac:dyDescent="0.3">
      <c r="B13" s="2">
        <v>44774</v>
      </c>
      <c r="C13">
        <v>170</v>
      </c>
      <c r="D13">
        <f t="shared" si="2"/>
        <v>152.48800199999999</v>
      </c>
      <c r="E13">
        <f t="shared" si="3"/>
        <v>140.10465269999997</v>
      </c>
      <c r="F13">
        <f t="shared" si="0"/>
        <v>164.87135130000001</v>
      </c>
      <c r="G13">
        <f t="shared" si="1"/>
        <v>5.307149700000009</v>
      </c>
      <c r="H13">
        <f t="shared" si="4"/>
        <v>159.53336999999999</v>
      </c>
      <c r="I13">
        <f t="shared" si="5"/>
        <v>10.466630000000009</v>
      </c>
      <c r="J13">
        <f t="shared" si="6"/>
        <v>109.55034355690019</v>
      </c>
    </row>
    <row r="14" spans="2:10" x14ac:dyDescent="0.3">
      <c r="B14" s="2">
        <v>44805</v>
      </c>
      <c r="C14">
        <v>180</v>
      </c>
      <c r="D14">
        <f t="shared" si="2"/>
        <v>160.74160139999998</v>
      </c>
      <c r="E14">
        <f t="shared" si="3"/>
        <v>146.29573730999996</v>
      </c>
      <c r="F14">
        <f t="shared" si="0"/>
        <v>175.18746548999999</v>
      </c>
      <c r="G14">
        <f t="shared" si="1"/>
        <v>6.191084610000007</v>
      </c>
      <c r="H14">
        <f t="shared" si="4"/>
        <v>170.17850100000001</v>
      </c>
      <c r="I14">
        <f t="shared" si="5"/>
        <v>9.8214989999999887</v>
      </c>
      <c r="J14">
        <f t="shared" si="6"/>
        <v>96.461842607000776</v>
      </c>
    </row>
    <row r="15" spans="2:10" x14ac:dyDescent="0.3">
      <c r="B15" s="2">
        <v>44835</v>
      </c>
      <c r="C15">
        <v>175</v>
      </c>
      <c r="D15">
        <f t="shared" si="2"/>
        <v>165.01912097999997</v>
      </c>
      <c r="E15">
        <f t="shared" si="3"/>
        <v>151.91275241099996</v>
      </c>
      <c r="F15">
        <f t="shared" si="0"/>
        <v>178.12548954899998</v>
      </c>
      <c r="G15">
        <f t="shared" si="1"/>
        <v>5.6170151010000051</v>
      </c>
      <c r="H15">
        <f t="shared" si="4"/>
        <v>181.37855010000001</v>
      </c>
      <c r="I15">
        <f t="shared" si="5"/>
        <v>-6.3785501000000124</v>
      </c>
      <c r="J15">
        <f t="shared" si="6"/>
        <v>40.685901378210168</v>
      </c>
    </row>
    <row r="16" spans="2:10" x14ac:dyDescent="0.3">
      <c r="B16" s="2">
        <v>44866</v>
      </c>
      <c r="C16">
        <v>180</v>
      </c>
      <c r="D16">
        <f t="shared" si="2"/>
        <v>169.51338468599997</v>
      </c>
      <c r="E16">
        <f t="shared" si="3"/>
        <v>157.19294209349997</v>
      </c>
      <c r="F16">
        <f t="shared" si="0"/>
        <v>181.83382727849997</v>
      </c>
      <c r="G16">
        <f t="shared" si="1"/>
        <v>5.2801896825000005</v>
      </c>
      <c r="H16">
        <f t="shared" si="4"/>
        <v>183.74250464999997</v>
      </c>
      <c r="I16">
        <f t="shared" si="5"/>
        <v>-3.7425046499999723</v>
      </c>
      <c r="J16">
        <f t="shared" si="6"/>
        <v>14.006341055271415</v>
      </c>
    </row>
    <row r="17" spans="2:10" x14ac:dyDescent="0.3">
      <c r="B17" s="2">
        <v>44896</v>
      </c>
      <c r="C17">
        <v>190</v>
      </c>
      <c r="D17">
        <f t="shared" si="2"/>
        <v>175.65936928019997</v>
      </c>
      <c r="E17">
        <f t="shared" si="3"/>
        <v>162.73287024950997</v>
      </c>
      <c r="F17">
        <f t="shared" si="0"/>
        <v>188.58586831088996</v>
      </c>
      <c r="G17">
        <f t="shared" si="1"/>
        <v>5.5399281560099984</v>
      </c>
      <c r="H17">
        <f t="shared" si="4"/>
        <v>187.11401696099998</v>
      </c>
      <c r="I17">
        <f t="shared" si="5"/>
        <v>2.8859830390000241</v>
      </c>
      <c r="J17">
        <f t="shared" si="6"/>
        <v>8.328898101395815</v>
      </c>
    </row>
    <row r="18" spans="2:10" x14ac:dyDescent="0.3">
      <c r="B18" s="2">
        <v>44927</v>
      </c>
      <c r="C18">
        <v>185</v>
      </c>
      <c r="D18">
        <f t="shared" si="2"/>
        <v>178.46155849613996</v>
      </c>
      <c r="E18">
        <f t="shared" si="3"/>
        <v>167.45147672349896</v>
      </c>
      <c r="F18">
        <f t="shared" si="0"/>
        <v>189.47164026878096</v>
      </c>
      <c r="G18">
        <f t="shared" si="1"/>
        <v>4.7186064739890012</v>
      </c>
      <c r="H18">
        <f t="shared" si="4"/>
        <v>194.12579646689997</v>
      </c>
      <c r="I18">
        <f t="shared" si="5"/>
        <v>-9.1257964668999705</v>
      </c>
      <c r="J18">
        <f t="shared" si="6"/>
        <v>83.280161155283977</v>
      </c>
    </row>
    <row r="19" spans="2:10" x14ac:dyDescent="0.3">
      <c r="B19" s="2">
        <v>44958</v>
      </c>
      <c r="C19">
        <v>195</v>
      </c>
      <c r="D19">
        <f t="shared" si="2"/>
        <v>183.42309094729796</v>
      </c>
      <c r="E19">
        <f t="shared" si="3"/>
        <v>172.24296099063866</v>
      </c>
      <c r="F19">
        <f t="shared" si="0"/>
        <v>194.60322090395726</v>
      </c>
      <c r="G19">
        <f t="shared" si="1"/>
        <v>4.7914842671397002</v>
      </c>
      <c r="H19">
        <f t="shared" si="4"/>
        <v>194.19024674276997</v>
      </c>
      <c r="I19">
        <f t="shared" si="5"/>
        <v>0.80975325723002811</v>
      </c>
      <c r="J19">
        <f t="shared" si="6"/>
        <v>0.65570033759464008</v>
      </c>
    </row>
    <row r="20" spans="2:10" x14ac:dyDescent="0.3">
      <c r="B20" s="2">
        <v>44986</v>
      </c>
      <c r="C20">
        <v>205</v>
      </c>
      <c r="D20">
        <f t="shared" si="2"/>
        <v>189.89616366310858</v>
      </c>
      <c r="E20">
        <f t="shared" si="3"/>
        <v>177.53892179237963</v>
      </c>
      <c r="F20">
        <f t="shared" si="0"/>
        <v>202.25340553383754</v>
      </c>
      <c r="G20">
        <f t="shared" si="1"/>
        <v>5.2959608017409812</v>
      </c>
      <c r="H20">
        <f t="shared" si="4"/>
        <v>199.39470517109697</v>
      </c>
      <c r="I20">
        <f t="shared" si="5"/>
        <v>5.6052948289030269</v>
      </c>
      <c r="J20">
        <f t="shared" si="6"/>
        <v>31.419330118927014</v>
      </c>
    </row>
    <row r="21" spans="2:10" x14ac:dyDescent="0.3">
      <c r="B21" s="2">
        <v>45017</v>
      </c>
      <c r="C21">
        <v>220</v>
      </c>
      <c r="D21">
        <f t="shared" si="2"/>
        <v>198.92731456417599</v>
      </c>
      <c r="E21">
        <f t="shared" si="3"/>
        <v>183.95543962391852</v>
      </c>
      <c r="F21">
        <f t="shared" si="0"/>
        <v>213.89918950443345</v>
      </c>
      <c r="G21">
        <f t="shared" si="1"/>
        <v>6.416517831538914</v>
      </c>
      <c r="H21">
        <f t="shared" si="4"/>
        <v>207.54936633557853</v>
      </c>
      <c r="I21">
        <f t="shared" si="5"/>
        <v>12.450633664421474</v>
      </c>
      <c r="J21">
        <f t="shared" si="6"/>
        <v>155.01827864562532</v>
      </c>
    </row>
    <row r="22" spans="2:10" x14ac:dyDescent="0.3">
      <c r="B22" s="2">
        <v>45047</v>
      </c>
      <c r="C22">
        <v>215</v>
      </c>
      <c r="D22">
        <f t="shared" si="2"/>
        <v>203.74912019492319</v>
      </c>
      <c r="E22">
        <f t="shared" si="3"/>
        <v>189.8935437952199</v>
      </c>
      <c r="F22">
        <f t="shared" si="0"/>
        <v>217.60469659462649</v>
      </c>
      <c r="G22">
        <f t="shared" si="1"/>
        <v>5.9381041713014131</v>
      </c>
      <c r="H22">
        <f t="shared" si="4"/>
        <v>220.31570733597238</v>
      </c>
      <c r="I22">
        <f t="shared" si="5"/>
        <v>-5.3157073359723768</v>
      </c>
      <c r="J22">
        <f t="shared" si="6"/>
        <v>28.256744481710541</v>
      </c>
    </row>
    <row r="23" spans="2:10" x14ac:dyDescent="0.3">
      <c r="B23" s="2">
        <v>45078</v>
      </c>
      <c r="C23">
        <v>230</v>
      </c>
      <c r="D23">
        <f t="shared" si="2"/>
        <v>211.62438413644622</v>
      </c>
      <c r="E23">
        <f t="shared" si="3"/>
        <v>196.41279589758778</v>
      </c>
      <c r="F23">
        <f t="shared" si="0"/>
        <v>226.83597237530466</v>
      </c>
      <c r="G23">
        <f t="shared" si="1"/>
        <v>6.5192521023679033</v>
      </c>
      <c r="H23">
        <f t="shared" si="4"/>
        <v>223.54280076592789</v>
      </c>
      <c r="I23">
        <f t="shared" si="5"/>
        <v>6.4571992340721067</v>
      </c>
      <c r="J23">
        <f t="shared" si="6"/>
        <v>41.695421948501405</v>
      </c>
    </row>
    <row r="24" spans="2:10" x14ac:dyDescent="0.3">
      <c r="B24" s="2">
        <v>45108</v>
      </c>
      <c r="C24">
        <v>240</v>
      </c>
      <c r="D24">
        <f t="shared" si="2"/>
        <v>220.13706889551236</v>
      </c>
      <c r="E24">
        <f t="shared" si="3"/>
        <v>203.53007779696514</v>
      </c>
      <c r="F24">
        <f t="shared" si="0"/>
        <v>236.74405999405957</v>
      </c>
      <c r="G24">
        <f t="shared" si="1"/>
        <v>7.1172818993773772</v>
      </c>
      <c r="H24">
        <f t="shared" si="4"/>
        <v>233.35522447767258</v>
      </c>
      <c r="I24">
        <f t="shared" si="5"/>
        <v>6.6447755223274214</v>
      </c>
      <c r="J24">
        <f t="shared" si="6"/>
        <v>44.153041742121658</v>
      </c>
    </row>
    <row r="25" spans="2:10" x14ac:dyDescent="0.3">
      <c r="B25" s="2">
        <v>45139</v>
      </c>
      <c r="C25">
        <v>235</v>
      </c>
      <c r="D25">
        <f t="shared" si="2"/>
        <v>224.59594822685864</v>
      </c>
      <c r="E25">
        <f t="shared" si="3"/>
        <v>209.84983892593317</v>
      </c>
      <c r="F25">
        <f t="shared" si="0"/>
        <v>239.34205752778411</v>
      </c>
      <c r="G25">
        <f t="shared" si="1"/>
        <v>6.3197611289680582</v>
      </c>
      <c r="H25">
        <f t="shared" si="4"/>
        <v>243.86134189343696</v>
      </c>
      <c r="I25">
        <f t="shared" si="5"/>
        <v>-8.8613418934369577</v>
      </c>
      <c r="J25">
        <f t="shared" si="6"/>
        <v>78.523380152380881</v>
      </c>
    </row>
    <row r="26" spans="2:10" x14ac:dyDescent="0.3">
      <c r="B26" s="2">
        <v>45170</v>
      </c>
      <c r="C26">
        <v>240</v>
      </c>
      <c r="D26">
        <f t="shared" si="2"/>
        <v>229.21716375880104</v>
      </c>
      <c r="E26">
        <f t="shared" si="3"/>
        <v>215.66003637579351</v>
      </c>
      <c r="F26">
        <f t="shared" si="0"/>
        <v>242.77429114180856</v>
      </c>
      <c r="G26">
        <f t="shared" si="1"/>
        <v>5.8101974498603681</v>
      </c>
      <c r="H26">
        <f t="shared" si="4"/>
        <v>245.66181865675216</v>
      </c>
      <c r="I26">
        <f t="shared" si="5"/>
        <v>-5.6618186567521605</v>
      </c>
      <c r="J26">
        <f t="shared" si="6"/>
        <v>32.056190501946837</v>
      </c>
    </row>
    <row r="27" spans="2:10" x14ac:dyDescent="0.3">
      <c r="B27" s="2">
        <v>45200</v>
      </c>
      <c r="C27">
        <v>250</v>
      </c>
      <c r="D27">
        <f t="shared" si="2"/>
        <v>235.45201463116072</v>
      </c>
      <c r="E27">
        <f t="shared" si="3"/>
        <v>221.59762985240366</v>
      </c>
      <c r="F27">
        <f t="shared" si="0"/>
        <v>249.30639940991779</v>
      </c>
      <c r="G27">
        <f t="shared" si="1"/>
        <v>5.9375934766101715</v>
      </c>
      <c r="H27">
        <f t="shared" si="4"/>
        <v>248.58448859166893</v>
      </c>
      <c r="I27">
        <f t="shared" si="5"/>
        <v>1.4155114083310707</v>
      </c>
      <c r="J27">
        <f t="shared" si="6"/>
        <v>2.0036725471154111</v>
      </c>
    </row>
    <row r="28" spans="2:10" x14ac:dyDescent="0.3">
      <c r="B28" s="2">
        <v>45231</v>
      </c>
      <c r="C28">
        <v>245</v>
      </c>
      <c r="D28">
        <f t="shared" si="2"/>
        <v>238.31641024181249</v>
      </c>
      <c r="E28">
        <f t="shared" si="3"/>
        <v>226.6132639692263</v>
      </c>
      <c r="F28">
        <f t="shared" si="0"/>
        <v>250.01955651439869</v>
      </c>
      <c r="G28">
        <f t="shared" si="1"/>
        <v>5.0156341168226559</v>
      </c>
      <c r="H28">
        <f t="shared" si="4"/>
        <v>255.24399288652796</v>
      </c>
      <c r="I28">
        <f t="shared" si="5"/>
        <v>-10.243992886527963</v>
      </c>
      <c r="J28">
        <f t="shared" si="6"/>
        <v>104.93939025923549</v>
      </c>
    </row>
    <row r="29" spans="2:10" x14ac:dyDescent="0.3">
      <c r="B29" s="2">
        <v>45261</v>
      </c>
      <c r="C29">
        <v>255</v>
      </c>
      <c r="D29">
        <f t="shared" si="2"/>
        <v>243.32148716926872</v>
      </c>
      <c r="E29">
        <f t="shared" si="3"/>
        <v>231.62573092923901</v>
      </c>
      <c r="F29">
        <f t="shared" si="0"/>
        <v>255.01724340929843</v>
      </c>
      <c r="G29">
        <f t="shared" si="1"/>
        <v>5.0124669600127332</v>
      </c>
      <c r="H29">
        <f t="shared" si="4"/>
        <v>255.03519063122135</v>
      </c>
      <c r="I29">
        <f t="shared" si="5"/>
        <v>-3.5190631221354352E-2</v>
      </c>
      <c r="J29">
        <f t="shared" si="6"/>
        <v>1.2383805257573596E-3</v>
      </c>
    </row>
    <row r="30" spans="2:10" x14ac:dyDescent="0.3">
      <c r="B30" s="2">
        <v>45292</v>
      </c>
      <c r="C30">
        <v>265</v>
      </c>
      <c r="D30">
        <f t="shared" si="2"/>
        <v>249.82504101848809</v>
      </c>
      <c r="E30">
        <f t="shared" si="3"/>
        <v>237.08552395601373</v>
      </c>
      <c r="F30">
        <f t="shared" si="0"/>
        <v>262.56455808096246</v>
      </c>
      <c r="G30">
        <f t="shared" si="1"/>
        <v>5.4597930267747277</v>
      </c>
      <c r="H30">
        <f t="shared" si="4"/>
        <v>260.02971036931115</v>
      </c>
      <c r="I30">
        <f t="shared" si="5"/>
        <v>4.9702896306888533</v>
      </c>
      <c r="J30">
        <f t="shared" si="6"/>
        <v>24.703779012933136</v>
      </c>
    </row>
    <row r="31" spans="2:10" x14ac:dyDescent="0.3">
      <c r="B31" s="2">
        <v>45323</v>
      </c>
      <c r="C31">
        <v>280</v>
      </c>
      <c r="D31">
        <f t="shared" si="2"/>
        <v>258.87752871294163</v>
      </c>
      <c r="E31">
        <f t="shared" si="3"/>
        <v>243.62312538309209</v>
      </c>
      <c r="F31">
        <f t="shared" si="0"/>
        <v>274.13193204279116</v>
      </c>
      <c r="G31">
        <f t="shared" si="1"/>
        <v>6.537601427078374</v>
      </c>
      <c r="H31">
        <f t="shared" si="4"/>
        <v>268.02435110773717</v>
      </c>
      <c r="I31">
        <f t="shared" si="5"/>
        <v>11.975648892262825</v>
      </c>
      <c r="J31">
        <f t="shared" si="6"/>
        <v>143.41616639075582</v>
      </c>
    </row>
    <row r="32" spans="2:10" x14ac:dyDescent="0.3">
      <c r="B32" s="2">
        <v>45352</v>
      </c>
      <c r="C32">
        <v>275</v>
      </c>
      <c r="D32">
        <f t="shared" si="2"/>
        <v>263.71427009905915</v>
      </c>
      <c r="E32">
        <f t="shared" si="3"/>
        <v>249.65046879788218</v>
      </c>
      <c r="F32">
        <f t="shared" si="0"/>
        <v>277.77807140023612</v>
      </c>
      <c r="G32">
        <f t="shared" si="1"/>
        <v>6.0273434147901286</v>
      </c>
      <c r="H32">
        <f t="shared" si="4"/>
        <v>280.66953346986952</v>
      </c>
      <c r="I32">
        <f t="shared" si="5"/>
        <v>-5.6695334698695206</v>
      </c>
      <c r="J32">
        <f t="shared" si="6"/>
        <v>32.143609765970723</v>
      </c>
    </row>
    <row r="33" spans="2:10" x14ac:dyDescent="0.3">
      <c r="B33" s="2">
        <v>45383</v>
      </c>
      <c r="C33">
        <v>290</v>
      </c>
      <c r="D33">
        <f t="shared" si="2"/>
        <v>271.5999890693414</v>
      </c>
      <c r="E33">
        <f t="shared" si="3"/>
        <v>256.23532487931993</v>
      </c>
      <c r="F33">
        <f t="shared" si="0"/>
        <v>286.96465325936288</v>
      </c>
      <c r="G33">
        <f t="shared" si="1"/>
        <v>6.5848560814377741</v>
      </c>
      <c r="H33">
        <f t="shared" si="4"/>
        <v>283.80541481502627</v>
      </c>
      <c r="I33">
        <f t="shared" si="5"/>
        <v>6.1945851849737323</v>
      </c>
      <c r="J33">
        <f t="shared" si="6"/>
        <v>38.372885613896052</v>
      </c>
    </row>
    <row r="34" spans="2:10" x14ac:dyDescent="0.3">
      <c r="B34" s="2">
        <v>45413</v>
      </c>
      <c r="C34">
        <v>300</v>
      </c>
      <c r="D34">
        <f t="shared" si="2"/>
        <v>280.11999234853897</v>
      </c>
      <c r="E34">
        <f t="shared" si="3"/>
        <v>263.40072512008561</v>
      </c>
      <c r="F34">
        <f t="shared" si="0"/>
        <v>296.83925957699233</v>
      </c>
      <c r="G34">
        <f t="shared" si="1"/>
        <v>7.1654002407657265</v>
      </c>
      <c r="H34">
        <f t="shared" si="4"/>
        <v>293.54950934080063</v>
      </c>
      <c r="I34">
        <f t="shared" si="5"/>
        <v>6.4504906591993745</v>
      </c>
      <c r="J34">
        <f t="shared" si="6"/>
        <v>41.608829744418379</v>
      </c>
    </row>
    <row r="35" spans="2:10" x14ac:dyDescent="0.3">
      <c r="B35" s="2">
        <v>45444</v>
      </c>
      <c r="C35">
        <v>295</v>
      </c>
      <c r="D35">
        <f t="shared" si="2"/>
        <v>284.58399464397723</v>
      </c>
      <c r="E35">
        <f t="shared" si="3"/>
        <v>269.75570597725311</v>
      </c>
      <c r="F35">
        <f>2*D35-E35</f>
        <v>299.41228331070135</v>
      </c>
      <c r="G35">
        <f t="shared" si="1"/>
        <v>6.3549808571674804</v>
      </c>
      <c r="H35">
        <f t="shared" si="4"/>
        <v>304.00465981775807</v>
      </c>
      <c r="I35">
        <f t="shared" si="5"/>
        <v>-9.0046598177580677</v>
      </c>
      <c r="J35">
        <f t="shared" si="6"/>
        <v>81.08389843354675</v>
      </c>
    </row>
    <row r="36" spans="2:10" x14ac:dyDescent="0.3">
      <c r="B36" s="2"/>
      <c r="H36" s="3">
        <f t="shared" si="4"/>
        <v>305.76726416786886</v>
      </c>
    </row>
    <row r="37" spans="2:10" x14ac:dyDescent="0.3">
      <c r="B37" s="2"/>
      <c r="I37" t="s">
        <v>16</v>
      </c>
      <c r="J37">
        <f>SUM(J7:J35)</f>
        <v>1911.0274258212669</v>
      </c>
    </row>
    <row r="38" spans="2:10" x14ac:dyDescent="0.3">
      <c r="B3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</vt:lpstr>
      <vt:lpstr>DES H</vt:lpstr>
      <vt:lpstr>DES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Riksakomara</dc:creator>
  <cp:lastModifiedBy>Davin Jonathan Tanus</cp:lastModifiedBy>
  <dcterms:created xsi:type="dcterms:W3CDTF">2015-06-05T18:17:20Z</dcterms:created>
  <dcterms:modified xsi:type="dcterms:W3CDTF">2025-03-20T08:08:52Z</dcterms:modified>
</cp:coreProperties>
</file>