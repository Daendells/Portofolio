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le\Downloads\"/>
    </mc:Choice>
  </mc:AlternateContent>
  <xr:revisionPtr revIDLastSave="0" documentId="13_ncr:1_{5815EBA8-22E7-4FBB-B02C-D5173180C9D5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SMA" sheetId="1" r:id="rId1"/>
    <sheet name="CMA" sheetId="2" r:id="rId2"/>
    <sheet name="CMA2" sheetId="6" r:id="rId3"/>
    <sheet name="DMA" sheetId="3" r:id="rId4"/>
    <sheet name="WMA" sheetId="4" r:id="rId5"/>
    <sheet name="EM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7" i="5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5" i="4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7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6" i="5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6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F63" i="2"/>
  <c r="F10" i="2"/>
  <c r="F12" i="2"/>
  <c r="F14" i="2"/>
  <c r="F16" i="2"/>
  <c r="F18" i="2"/>
  <c r="F20" i="2"/>
  <c r="F22" i="2"/>
  <c r="F24" i="2"/>
  <c r="F26" i="2"/>
  <c r="F28" i="2"/>
  <c r="F30" i="2"/>
  <c r="F32" i="2"/>
  <c r="F34" i="2"/>
  <c r="F36" i="2"/>
  <c r="F38" i="2"/>
  <c r="F40" i="2"/>
  <c r="F42" i="2"/>
  <c r="F44" i="2"/>
  <c r="F46" i="2"/>
  <c r="F48" i="2"/>
  <c r="F50" i="2"/>
  <c r="F52" i="2"/>
  <c r="F54" i="2"/>
  <c r="F56" i="2"/>
  <c r="F58" i="2"/>
  <c r="F60" i="2"/>
  <c r="F8" i="2"/>
  <c r="E10" i="2"/>
  <c r="E12" i="2"/>
  <c r="E14" i="2"/>
  <c r="E16" i="2"/>
  <c r="E18" i="2"/>
  <c r="E20" i="2"/>
  <c r="E22" i="2"/>
  <c r="E24" i="2"/>
  <c r="E26" i="2"/>
  <c r="E28" i="2"/>
  <c r="E30" i="2"/>
  <c r="E32" i="2"/>
  <c r="E34" i="2"/>
  <c r="E36" i="2"/>
  <c r="E38" i="2"/>
  <c r="E40" i="2"/>
  <c r="E42" i="2"/>
  <c r="E44" i="2"/>
  <c r="E46" i="2"/>
  <c r="E48" i="2"/>
  <c r="E50" i="2"/>
  <c r="E52" i="2"/>
  <c r="E54" i="2"/>
  <c r="E56" i="2"/>
  <c r="E58" i="2"/>
  <c r="E60" i="2"/>
  <c r="E8" i="2"/>
  <c r="D10" i="2"/>
  <c r="D12" i="2"/>
  <c r="D14" i="2"/>
  <c r="D16" i="2"/>
  <c r="D18" i="2"/>
  <c r="D20" i="2"/>
  <c r="D22" i="2"/>
  <c r="D24" i="2"/>
  <c r="D26" i="2"/>
  <c r="D28" i="2"/>
  <c r="D30" i="2"/>
  <c r="D32" i="2"/>
  <c r="D34" i="2"/>
  <c r="D36" i="2"/>
  <c r="D38" i="2"/>
  <c r="D40" i="2"/>
  <c r="D42" i="2"/>
  <c r="D44" i="2"/>
  <c r="D46" i="2"/>
  <c r="D48" i="2"/>
  <c r="D50" i="2"/>
  <c r="D52" i="2"/>
  <c r="D54" i="2"/>
  <c r="D56" i="2"/>
  <c r="D58" i="2"/>
  <c r="D60" i="2"/>
  <c r="D8" i="2"/>
  <c r="C9" i="2"/>
  <c r="C11" i="2"/>
  <c r="C13" i="2"/>
  <c r="C15" i="2"/>
  <c r="C17" i="2"/>
  <c r="C19" i="2"/>
  <c r="C21" i="2"/>
  <c r="C23" i="2"/>
  <c r="C25" i="2"/>
  <c r="C27" i="2"/>
  <c r="C29" i="2"/>
  <c r="C31" i="2"/>
  <c r="C33" i="2"/>
  <c r="C35" i="2"/>
  <c r="C37" i="2"/>
  <c r="C39" i="2"/>
  <c r="C41" i="2"/>
  <c r="C43" i="2"/>
  <c r="C45" i="2"/>
  <c r="C47" i="2"/>
  <c r="C49" i="2"/>
  <c r="C51" i="2"/>
  <c r="C53" i="2"/>
  <c r="C55" i="2"/>
  <c r="C57" i="2"/>
  <c r="C59" i="2"/>
  <c r="C61" i="2"/>
  <c r="C7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5" i="2"/>
  <c r="D7" i="1"/>
  <c r="E7" i="1" s="1"/>
  <c r="D8" i="1"/>
  <c r="E8" i="1"/>
  <c r="D9" i="1"/>
  <c r="E9" i="1"/>
  <c r="D10" i="1"/>
  <c r="E10" i="1"/>
  <c r="D11" i="1"/>
  <c r="E11" i="1"/>
  <c r="D12" i="1"/>
  <c r="E12" i="1" s="1"/>
  <c r="D13" i="1"/>
  <c r="E13" i="1" s="1"/>
  <c r="D14" i="1"/>
  <c r="E14" i="1"/>
  <c r="D15" i="1"/>
  <c r="E15" i="1"/>
  <c r="D16" i="1"/>
  <c r="E16" i="1"/>
  <c r="D17" i="1"/>
  <c r="E17" i="1"/>
  <c r="D18" i="1"/>
  <c r="E18" i="1"/>
  <c r="D19" i="1"/>
  <c r="E19" i="1" s="1"/>
  <c r="D20" i="1"/>
  <c r="E20" i="1"/>
  <c r="D21" i="1"/>
  <c r="E21" i="1"/>
  <c r="D22" i="1"/>
  <c r="E22" i="1"/>
  <c r="D23" i="1"/>
  <c r="E23" i="1"/>
  <c r="D24" i="1"/>
  <c r="E24" i="1"/>
  <c r="D25" i="1"/>
  <c r="E25" i="1" s="1"/>
  <c r="D26" i="1"/>
  <c r="E26" i="1"/>
  <c r="D27" i="1"/>
  <c r="E27" i="1"/>
  <c r="D28" i="1"/>
  <c r="E28" i="1"/>
  <c r="D29" i="1"/>
  <c r="E29" i="1"/>
  <c r="D30" i="1"/>
  <c r="E30" i="1"/>
  <c r="D31" i="1"/>
  <c r="E31" i="1" s="1"/>
  <c r="D32" i="1"/>
  <c r="E32" i="1"/>
  <c r="D33" i="1"/>
  <c r="E33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7" i="1"/>
  <c r="E34" i="1" l="1"/>
</calcChain>
</file>

<file path=xl/sharedStrings.xml><?xml version="1.0" encoding="utf-8"?>
<sst xmlns="http://schemas.openxmlformats.org/spreadsheetml/2006/main" count="135" uniqueCount="29">
  <si>
    <t xml:space="preserve">NRP </t>
  </si>
  <si>
    <t>A = 3</t>
  </si>
  <si>
    <t>B=1</t>
  </si>
  <si>
    <t>Data</t>
  </si>
  <si>
    <t>Periode</t>
  </si>
  <si>
    <t>periode</t>
  </si>
  <si>
    <t>SMA</t>
  </si>
  <si>
    <t>CMA</t>
  </si>
  <si>
    <t>DMA</t>
  </si>
  <si>
    <t>WMA</t>
  </si>
  <si>
    <t>EMA</t>
  </si>
  <si>
    <t>A</t>
  </si>
  <si>
    <t>B</t>
  </si>
  <si>
    <t>Forecast</t>
  </si>
  <si>
    <t>Eror</t>
  </si>
  <si>
    <t>SSE</t>
  </si>
  <si>
    <t>SSE =</t>
  </si>
  <si>
    <t xml:space="preserve">SSE = </t>
  </si>
  <si>
    <t>CMA = 4</t>
  </si>
  <si>
    <t>CMA = 1</t>
  </si>
  <si>
    <t>at</t>
  </si>
  <si>
    <t>bt</t>
  </si>
  <si>
    <t>Mt(3)</t>
  </si>
  <si>
    <t>mt(1x3)</t>
  </si>
  <si>
    <t>yt</t>
  </si>
  <si>
    <t>Forecasting dengan 1 periode WMA</t>
  </si>
  <si>
    <t>PrevXMA</t>
  </si>
  <si>
    <t>XMA</t>
  </si>
  <si>
    <t>w1=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</si>
</sst>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SMA!$B$3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SMA!$B$4:$B$33</c:f>
              <c:numCache>
                <c:formatCode>General</c:formatCode>
                <c:ptCount val="30"/>
                <c:pt idx="0">
                  <c:v>31</c:v>
                </c:pt>
                <c:pt idx="1">
                  <c:v>93</c:v>
                </c:pt>
                <c:pt idx="2">
                  <c:v>81</c:v>
                </c:pt>
                <c:pt idx="3">
                  <c:v>75</c:v>
                </c:pt>
                <c:pt idx="4">
                  <c:v>9</c:v>
                </c:pt>
                <c:pt idx="5">
                  <c:v>46</c:v>
                </c:pt>
                <c:pt idx="6">
                  <c:v>87</c:v>
                </c:pt>
                <c:pt idx="7">
                  <c:v>33</c:v>
                </c:pt>
                <c:pt idx="8">
                  <c:v>53</c:v>
                </c:pt>
                <c:pt idx="9">
                  <c:v>14</c:v>
                </c:pt>
                <c:pt idx="10">
                  <c:v>36</c:v>
                </c:pt>
                <c:pt idx="11">
                  <c:v>18</c:v>
                </c:pt>
                <c:pt idx="12">
                  <c:v>64</c:v>
                </c:pt>
                <c:pt idx="13">
                  <c:v>5</c:v>
                </c:pt>
                <c:pt idx="14">
                  <c:v>49</c:v>
                </c:pt>
                <c:pt idx="15">
                  <c:v>76</c:v>
                </c:pt>
                <c:pt idx="16">
                  <c:v>56</c:v>
                </c:pt>
                <c:pt idx="17">
                  <c:v>19</c:v>
                </c:pt>
                <c:pt idx="18">
                  <c:v>13</c:v>
                </c:pt>
                <c:pt idx="19">
                  <c:v>6</c:v>
                </c:pt>
                <c:pt idx="20">
                  <c:v>64</c:v>
                </c:pt>
                <c:pt idx="21">
                  <c:v>46</c:v>
                </c:pt>
                <c:pt idx="22">
                  <c:v>26</c:v>
                </c:pt>
                <c:pt idx="23">
                  <c:v>77</c:v>
                </c:pt>
                <c:pt idx="24">
                  <c:v>20</c:v>
                </c:pt>
                <c:pt idx="25">
                  <c:v>83</c:v>
                </c:pt>
                <c:pt idx="26">
                  <c:v>45</c:v>
                </c:pt>
                <c:pt idx="27">
                  <c:v>33</c:v>
                </c:pt>
                <c:pt idx="28">
                  <c:v>29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0-4128-94F4-986B23DB1F27}"/>
            </c:ext>
          </c:extLst>
        </c:ser>
        <c:ser>
          <c:idx val="1"/>
          <c:order val="1"/>
          <c:tx>
            <c:strRef>
              <c:f>SMA!$C$3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SMA!$C$4:$C$33</c:f>
              <c:numCache>
                <c:formatCode>General</c:formatCode>
                <c:ptCount val="30"/>
                <c:pt idx="3">
                  <c:v>68.333333333333329</c:v>
                </c:pt>
                <c:pt idx="4">
                  <c:v>83</c:v>
                </c:pt>
                <c:pt idx="5">
                  <c:v>55</c:v>
                </c:pt>
                <c:pt idx="6">
                  <c:v>43.333333333333336</c:v>
                </c:pt>
                <c:pt idx="7">
                  <c:v>47.333333333333336</c:v>
                </c:pt>
                <c:pt idx="8">
                  <c:v>55.333333333333336</c:v>
                </c:pt>
                <c:pt idx="9">
                  <c:v>57.666666666666664</c:v>
                </c:pt>
                <c:pt idx="10">
                  <c:v>33.333333333333336</c:v>
                </c:pt>
                <c:pt idx="11">
                  <c:v>34.333333333333336</c:v>
                </c:pt>
                <c:pt idx="12">
                  <c:v>22.666666666666668</c:v>
                </c:pt>
                <c:pt idx="13">
                  <c:v>39.333333333333336</c:v>
                </c:pt>
                <c:pt idx="14">
                  <c:v>29</c:v>
                </c:pt>
                <c:pt idx="15">
                  <c:v>39.333333333333336</c:v>
                </c:pt>
                <c:pt idx="16">
                  <c:v>43.333333333333336</c:v>
                </c:pt>
                <c:pt idx="17">
                  <c:v>60.333333333333336</c:v>
                </c:pt>
                <c:pt idx="18">
                  <c:v>50.333333333333336</c:v>
                </c:pt>
                <c:pt idx="19">
                  <c:v>29.333333333333332</c:v>
                </c:pt>
                <c:pt idx="20">
                  <c:v>12.666666666666666</c:v>
                </c:pt>
                <c:pt idx="21">
                  <c:v>27.666666666666668</c:v>
                </c:pt>
                <c:pt idx="22">
                  <c:v>38.666666666666664</c:v>
                </c:pt>
                <c:pt idx="23">
                  <c:v>45.333333333333336</c:v>
                </c:pt>
                <c:pt idx="24">
                  <c:v>49.666666666666664</c:v>
                </c:pt>
                <c:pt idx="25">
                  <c:v>41</c:v>
                </c:pt>
                <c:pt idx="26">
                  <c:v>60</c:v>
                </c:pt>
                <c:pt idx="27">
                  <c:v>49.333333333333336</c:v>
                </c:pt>
                <c:pt idx="28">
                  <c:v>53.666666666666664</c:v>
                </c:pt>
                <c:pt idx="29">
                  <c:v>35.666666666666664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0-4128-94F4-986B23DB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216864"/>
        <c:axId val="1962214464"/>
      </c:lineChart>
      <c:catAx>
        <c:axId val="1962216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14464"/>
        <c:crosses val="autoZero"/>
        <c:auto val="1"/>
        <c:lblAlgn val="ctr"/>
        <c:lblOffset val="100"/>
        <c:noMultiLvlLbl val="0"/>
      </c:catAx>
      <c:valAx>
        <c:axId val="19622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21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'CMA2'!$B$3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'CMA2'!$B$4:$B$33</c:f>
              <c:numCache>
                <c:formatCode>General</c:formatCode>
                <c:ptCount val="30"/>
                <c:pt idx="0">
                  <c:v>31</c:v>
                </c:pt>
                <c:pt idx="1">
                  <c:v>93</c:v>
                </c:pt>
                <c:pt idx="2">
                  <c:v>81</c:v>
                </c:pt>
                <c:pt idx="3">
                  <c:v>75</c:v>
                </c:pt>
                <c:pt idx="4">
                  <c:v>9</c:v>
                </c:pt>
                <c:pt idx="5">
                  <c:v>46</c:v>
                </c:pt>
                <c:pt idx="6">
                  <c:v>87</c:v>
                </c:pt>
                <c:pt idx="7">
                  <c:v>33</c:v>
                </c:pt>
                <c:pt idx="8">
                  <c:v>53</c:v>
                </c:pt>
                <c:pt idx="9">
                  <c:v>14</c:v>
                </c:pt>
                <c:pt idx="10">
                  <c:v>36</c:v>
                </c:pt>
                <c:pt idx="11">
                  <c:v>18</c:v>
                </c:pt>
                <c:pt idx="12">
                  <c:v>64</c:v>
                </c:pt>
                <c:pt idx="13">
                  <c:v>5</c:v>
                </c:pt>
                <c:pt idx="14">
                  <c:v>49</c:v>
                </c:pt>
                <c:pt idx="15">
                  <c:v>76</c:v>
                </c:pt>
                <c:pt idx="16">
                  <c:v>56</c:v>
                </c:pt>
                <c:pt idx="17">
                  <c:v>19</c:v>
                </c:pt>
                <c:pt idx="18">
                  <c:v>13</c:v>
                </c:pt>
                <c:pt idx="19">
                  <c:v>6</c:v>
                </c:pt>
                <c:pt idx="20">
                  <c:v>64</c:v>
                </c:pt>
                <c:pt idx="21">
                  <c:v>46</c:v>
                </c:pt>
                <c:pt idx="22">
                  <c:v>26</c:v>
                </c:pt>
                <c:pt idx="23">
                  <c:v>77</c:v>
                </c:pt>
                <c:pt idx="24">
                  <c:v>20</c:v>
                </c:pt>
                <c:pt idx="25">
                  <c:v>83</c:v>
                </c:pt>
                <c:pt idx="26">
                  <c:v>45</c:v>
                </c:pt>
                <c:pt idx="27">
                  <c:v>33</c:v>
                </c:pt>
                <c:pt idx="28">
                  <c:v>29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9-48C2-BE0C-D9E9B0C4E39B}"/>
            </c:ext>
          </c:extLst>
        </c:ser>
        <c:ser>
          <c:idx val="1"/>
          <c:order val="1"/>
          <c:tx>
            <c:strRef>
              <c:f>'CMA2'!$C$3</c:f>
              <c:strCache>
                <c:ptCount val="1"/>
                <c:pt idx="0">
                  <c:v>CMA =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'CMA2'!$C$4:$C$33</c:f>
              <c:numCache>
                <c:formatCode>General</c:formatCode>
                <c:ptCount val="30"/>
                <c:pt idx="0">
                  <c:v>31</c:v>
                </c:pt>
                <c:pt idx="1">
                  <c:v>93</c:v>
                </c:pt>
                <c:pt idx="2">
                  <c:v>81</c:v>
                </c:pt>
                <c:pt idx="3">
                  <c:v>75</c:v>
                </c:pt>
                <c:pt idx="4">
                  <c:v>9</c:v>
                </c:pt>
                <c:pt idx="5">
                  <c:v>46</c:v>
                </c:pt>
                <c:pt idx="6">
                  <c:v>87</c:v>
                </c:pt>
                <c:pt idx="7">
                  <c:v>33</c:v>
                </c:pt>
                <c:pt idx="8">
                  <c:v>53</c:v>
                </c:pt>
                <c:pt idx="9">
                  <c:v>14</c:v>
                </c:pt>
                <c:pt idx="10">
                  <c:v>36</c:v>
                </c:pt>
                <c:pt idx="11">
                  <c:v>18</c:v>
                </c:pt>
                <c:pt idx="12">
                  <c:v>64</c:v>
                </c:pt>
                <c:pt idx="13">
                  <c:v>5</c:v>
                </c:pt>
                <c:pt idx="14">
                  <c:v>49</c:v>
                </c:pt>
                <c:pt idx="15">
                  <c:v>76</c:v>
                </c:pt>
                <c:pt idx="16">
                  <c:v>56</c:v>
                </c:pt>
                <c:pt idx="17">
                  <c:v>19</c:v>
                </c:pt>
                <c:pt idx="18">
                  <c:v>13</c:v>
                </c:pt>
                <c:pt idx="19">
                  <c:v>6</c:v>
                </c:pt>
                <c:pt idx="20">
                  <c:v>64</c:v>
                </c:pt>
                <c:pt idx="21">
                  <c:v>46</c:v>
                </c:pt>
                <c:pt idx="22">
                  <c:v>26</c:v>
                </c:pt>
                <c:pt idx="23">
                  <c:v>77</c:v>
                </c:pt>
                <c:pt idx="24">
                  <c:v>20</c:v>
                </c:pt>
                <c:pt idx="25">
                  <c:v>83</c:v>
                </c:pt>
                <c:pt idx="26">
                  <c:v>45</c:v>
                </c:pt>
                <c:pt idx="27">
                  <c:v>33</c:v>
                </c:pt>
                <c:pt idx="28">
                  <c:v>29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9-48C2-BE0C-D9E9B0C4E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95520"/>
        <c:axId val="64496000"/>
      </c:lineChart>
      <c:catAx>
        <c:axId val="64495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6000"/>
        <c:crosses val="autoZero"/>
        <c:auto val="1"/>
        <c:lblAlgn val="ctr"/>
        <c:lblOffset val="100"/>
        <c:noMultiLvlLbl val="0"/>
      </c:catAx>
      <c:valAx>
        <c:axId val="6449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15</xdr:row>
      <xdr:rowOff>80010</xdr:rowOff>
    </xdr:from>
    <xdr:to>
      <xdr:col>15</xdr:col>
      <xdr:colOff>83820</xdr:colOff>
      <xdr:row>30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7FC34B-BB3A-2937-0BC7-107F1F6B5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13</xdr:row>
      <xdr:rowOff>80010</xdr:rowOff>
    </xdr:from>
    <xdr:to>
      <xdr:col>15</xdr:col>
      <xdr:colOff>228600</xdr:colOff>
      <xdr:row>28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DE78D-E3E9-8716-F6D4-E513F9F8C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5"/>
  <sheetViews>
    <sheetView workbookViewId="0">
      <selection activeCell="L1" sqref="L1"/>
    </sheetView>
  </sheetViews>
  <sheetFormatPr defaultRowHeight="14.4" x14ac:dyDescent="0.3"/>
  <cols>
    <col min="3" max="3" width="11" bestFit="1" customWidth="1"/>
  </cols>
  <sheetData>
    <row r="1" spans="1:13" x14ac:dyDescent="0.3">
      <c r="D1" t="s">
        <v>1</v>
      </c>
      <c r="E1" t="s">
        <v>2</v>
      </c>
      <c r="L1" t="s">
        <v>5</v>
      </c>
    </row>
    <row r="2" spans="1:13" x14ac:dyDescent="0.3">
      <c r="B2" t="s">
        <v>0</v>
      </c>
      <c r="C2">
        <v>5026231131</v>
      </c>
      <c r="K2" t="s">
        <v>6</v>
      </c>
      <c r="L2" t="s">
        <v>11</v>
      </c>
    </row>
    <row r="3" spans="1:13" x14ac:dyDescent="0.3">
      <c r="A3" t="s">
        <v>4</v>
      </c>
      <c r="B3" t="s">
        <v>3</v>
      </c>
      <c r="C3" t="s">
        <v>13</v>
      </c>
      <c r="D3" t="s">
        <v>14</v>
      </c>
      <c r="E3" t="s">
        <v>15</v>
      </c>
      <c r="K3" t="s">
        <v>7</v>
      </c>
      <c r="L3" t="s">
        <v>12</v>
      </c>
      <c r="M3" t="s">
        <v>11</v>
      </c>
    </row>
    <row r="4" spans="1:13" x14ac:dyDescent="0.3">
      <c r="A4">
        <v>1</v>
      </c>
      <c r="B4">
        <v>31</v>
      </c>
      <c r="K4" t="s">
        <v>8</v>
      </c>
      <c r="L4" t="s">
        <v>11</v>
      </c>
      <c r="M4" t="s">
        <v>12</v>
      </c>
    </row>
    <row r="5" spans="1:13" x14ac:dyDescent="0.3">
      <c r="A5">
        <v>2</v>
      </c>
      <c r="B5">
        <v>93</v>
      </c>
      <c r="K5" t="s">
        <v>9</v>
      </c>
      <c r="L5" t="s">
        <v>12</v>
      </c>
    </row>
    <row r="6" spans="1:13" x14ac:dyDescent="0.3">
      <c r="A6">
        <v>3</v>
      </c>
      <c r="B6">
        <v>81</v>
      </c>
      <c r="K6" t="s">
        <v>10</v>
      </c>
      <c r="L6" t="s">
        <v>11</v>
      </c>
    </row>
    <row r="7" spans="1:13" x14ac:dyDescent="0.3">
      <c r="A7">
        <v>4</v>
      </c>
      <c r="B7">
        <v>75</v>
      </c>
      <c r="C7">
        <f>AVERAGE(B4:B6)</f>
        <v>68.333333333333329</v>
      </c>
      <c r="D7">
        <f>B7-C7</f>
        <v>6.6666666666666714</v>
      </c>
      <c r="E7">
        <f>D7^2</f>
        <v>44.444444444444507</v>
      </c>
    </row>
    <row r="8" spans="1:13" x14ac:dyDescent="0.3">
      <c r="A8">
        <v>5</v>
      </c>
      <c r="B8">
        <v>9</v>
      </c>
      <c r="C8">
        <f t="shared" ref="C8:C33" si="0">AVERAGE(B5:B7)</f>
        <v>83</v>
      </c>
      <c r="D8">
        <f t="shared" ref="D8:D33" si="1">B8-C8</f>
        <v>-74</v>
      </c>
      <c r="E8">
        <f t="shared" ref="E8:E33" si="2">D8^2</f>
        <v>5476</v>
      </c>
    </row>
    <row r="9" spans="1:13" x14ac:dyDescent="0.3">
      <c r="A9">
        <v>6</v>
      </c>
      <c r="B9">
        <v>46</v>
      </c>
      <c r="C9">
        <f t="shared" si="0"/>
        <v>55</v>
      </c>
      <c r="D9">
        <f t="shared" si="1"/>
        <v>-9</v>
      </c>
      <c r="E9">
        <f t="shared" si="2"/>
        <v>81</v>
      </c>
    </row>
    <row r="10" spans="1:13" x14ac:dyDescent="0.3">
      <c r="A10">
        <v>7</v>
      </c>
      <c r="B10">
        <v>87</v>
      </c>
      <c r="C10">
        <f t="shared" si="0"/>
        <v>43.333333333333336</v>
      </c>
      <c r="D10">
        <f t="shared" si="1"/>
        <v>43.666666666666664</v>
      </c>
      <c r="E10">
        <f t="shared" si="2"/>
        <v>1906.7777777777776</v>
      </c>
    </row>
    <row r="11" spans="1:13" x14ac:dyDescent="0.3">
      <c r="A11">
        <v>8</v>
      </c>
      <c r="B11">
        <v>33</v>
      </c>
      <c r="C11">
        <f t="shared" si="0"/>
        <v>47.333333333333336</v>
      </c>
      <c r="D11">
        <f t="shared" si="1"/>
        <v>-14.333333333333336</v>
      </c>
      <c r="E11">
        <f t="shared" si="2"/>
        <v>205.44444444444451</v>
      </c>
    </row>
    <row r="12" spans="1:13" x14ac:dyDescent="0.3">
      <c r="A12">
        <v>9</v>
      </c>
      <c r="B12">
        <v>53</v>
      </c>
      <c r="C12">
        <f t="shared" si="0"/>
        <v>55.333333333333336</v>
      </c>
      <c r="D12">
        <f t="shared" si="1"/>
        <v>-2.3333333333333357</v>
      </c>
      <c r="E12">
        <f t="shared" si="2"/>
        <v>5.4444444444444553</v>
      </c>
    </row>
    <row r="13" spans="1:13" x14ac:dyDescent="0.3">
      <c r="A13">
        <v>10</v>
      </c>
      <c r="B13">
        <v>14</v>
      </c>
      <c r="C13">
        <f t="shared" si="0"/>
        <v>57.666666666666664</v>
      </c>
      <c r="D13">
        <f t="shared" si="1"/>
        <v>-43.666666666666664</v>
      </c>
      <c r="E13">
        <f t="shared" si="2"/>
        <v>1906.7777777777776</v>
      </c>
    </row>
    <row r="14" spans="1:13" x14ac:dyDescent="0.3">
      <c r="A14">
        <v>11</v>
      </c>
      <c r="B14">
        <v>36</v>
      </c>
      <c r="C14">
        <f t="shared" si="0"/>
        <v>33.333333333333336</v>
      </c>
      <c r="D14">
        <f t="shared" si="1"/>
        <v>2.6666666666666643</v>
      </c>
      <c r="E14">
        <f t="shared" si="2"/>
        <v>7.1111111111110983</v>
      </c>
    </row>
    <row r="15" spans="1:13" x14ac:dyDescent="0.3">
      <c r="A15">
        <v>12</v>
      </c>
      <c r="B15">
        <v>18</v>
      </c>
      <c r="C15">
        <f t="shared" si="0"/>
        <v>34.333333333333336</v>
      </c>
      <c r="D15">
        <f t="shared" si="1"/>
        <v>-16.333333333333336</v>
      </c>
      <c r="E15">
        <f t="shared" si="2"/>
        <v>266.77777777777783</v>
      </c>
    </row>
    <row r="16" spans="1:13" x14ac:dyDescent="0.3">
      <c r="A16">
        <v>13</v>
      </c>
      <c r="B16">
        <v>64</v>
      </c>
      <c r="C16">
        <f t="shared" si="0"/>
        <v>22.666666666666668</v>
      </c>
      <c r="D16">
        <f t="shared" si="1"/>
        <v>41.333333333333329</v>
      </c>
      <c r="E16">
        <f t="shared" si="2"/>
        <v>1708.4444444444441</v>
      </c>
    </row>
    <row r="17" spans="1:5" x14ac:dyDescent="0.3">
      <c r="A17">
        <v>14</v>
      </c>
      <c r="B17">
        <v>5</v>
      </c>
      <c r="C17">
        <f t="shared" si="0"/>
        <v>39.333333333333336</v>
      </c>
      <c r="D17">
        <f t="shared" si="1"/>
        <v>-34.333333333333336</v>
      </c>
      <c r="E17">
        <f t="shared" si="2"/>
        <v>1178.7777777777778</v>
      </c>
    </row>
    <row r="18" spans="1:5" x14ac:dyDescent="0.3">
      <c r="A18">
        <v>15</v>
      </c>
      <c r="B18">
        <v>49</v>
      </c>
      <c r="C18">
        <f t="shared" si="0"/>
        <v>29</v>
      </c>
      <c r="D18">
        <f t="shared" si="1"/>
        <v>20</v>
      </c>
      <c r="E18">
        <f t="shared" si="2"/>
        <v>400</v>
      </c>
    </row>
    <row r="19" spans="1:5" x14ac:dyDescent="0.3">
      <c r="A19">
        <v>16</v>
      </c>
      <c r="B19">
        <v>76</v>
      </c>
      <c r="C19">
        <f t="shared" si="0"/>
        <v>39.333333333333336</v>
      </c>
      <c r="D19">
        <f t="shared" si="1"/>
        <v>36.666666666666664</v>
      </c>
      <c r="E19">
        <f t="shared" si="2"/>
        <v>1344.4444444444443</v>
      </c>
    </row>
    <row r="20" spans="1:5" x14ac:dyDescent="0.3">
      <c r="A20">
        <v>17</v>
      </c>
      <c r="B20">
        <v>56</v>
      </c>
      <c r="C20">
        <f t="shared" si="0"/>
        <v>43.333333333333336</v>
      </c>
      <c r="D20">
        <f t="shared" si="1"/>
        <v>12.666666666666664</v>
      </c>
      <c r="E20">
        <f t="shared" si="2"/>
        <v>160.44444444444437</v>
      </c>
    </row>
    <row r="21" spans="1:5" x14ac:dyDescent="0.3">
      <c r="A21">
        <v>18</v>
      </c>
      <c r="B21">
        <v>19</v>
      </c>
      <c r="C21">
        <f t="shared" si="0"/>
        <v>60.333333333333336</v>
      </c>
      <c r="D21">
        <f t="shared" si="1"/>
        <v>-41.333333333333336</v>
      </c>
      <c r="E21">
        <f t="shared" si="2"/>
        <v>1708.4444444444446</v>
      </c>
    </row>
    <row r="22" spans="1:5" x14ac:dyDescent="0.3">
      <c r="A22">
        <v>19</v>
      </c>
      <c r="B22">
        <v>13</v>
      </c>
      <c r="C22">
        <f t="shared" si="0"/>
        <v>50.333333333333336</v>
      </c>
      <c r="D22">
        <f t="shared" si="1"/>
        <v>-37.333333333333336</v>
      </c>
      <c r="E22">
        <f t="shared" si="2"/>
        <v>1393.7777777777781</v>
      </c>
    </row>
    <row r="23" spans="1:5" x14ac:dyDescent="0.3">
      <c r="A23">
        <v>20</v>
      </c>
      <c r="B23">
        <v>6</v>
      </c>
      <c r="C23">
        <f t="shared" si="0"/>
        <v>29.333333333333332</v>
      </c>
      <c r="D23">
        <f t="shared" si="1"/>
        <v>-23.333333333333332</v>
      </c>
      <c r="E23">
        <f t="shared" si="2"/>
        <v>544.44444444444434</v>
      </c>
    </row>
    <row r="24" spans="1:5" x14ac:dyDescent="0.3">
      <c r="A24">
        <v>21</v>
      </c>
      <c r="B24">
        <v>64</v>
      </c>
      <c r="C24">
        <f t="shared" si="0"/>
        <v>12.666666666666666</v>
      </c>
      <c r="D24">
        <f t="shared" si="1"/>
        <v>51.333333333333336</v>
      </c>
      <c r="E24">
        <f t="shared" si="2"/>
        <v>2635.1111111111113</v>
      </c>
    </row>
    <row r="25" spans="1:5" x14ac:dyDescent="0.3">
      <c r="A25">
        <v>22</v>
      </c>
      <c r="B25">
        <v>46</v>
      </c>
      <c r="C25">
        <f t="shared" si="0"/>
        <v>27.666666666666668</v>
      </c>
      <c r="D25">
        <f t="shared" si="1"/>
        <v>18.333333333333332</v>
      </c>
      <c r="E25">
        <f t="shared" si="2"/>
        <v>336.11111111111109</v>
      </c>
    </row>
    <row r="26" spans="1:5" x14ac:dyDescent="0.3">
      <c r="A26">
        <v>23</v>
      </c>
      <c r="B26">
        <v>26</v>
      </c>
      <c r="C26">
        <f t="shared" si="0"/>
        <v>38.666666666666664</v>
      </c>
      <c r="D26">
        <f t="shared" si="1"/>
        <v>-12.666666666666664</v>
      </c>
      <c r="E26">
        <f t="shared" si="2"/>
        <v>160.44444444444437</v>
      </c>
    </row>
    <row r="27" spans="1:5" x14ac:dyDescent="0.3">
      <c r="A27">
        <v>24</v>
      </c>
      <c r="B27">
        <v>77</v>
      </c>
      <c r="C27">
        <f t="shared" si="0"/>
        <v>45.333333333333336</v>
      </c>
      <c r="D27">
        <f t="shared" si="1"/>
        <v>31.666666666666664</v>
      </c>
      <c r="E27">
        <f t="shared" si="2"/>
        <v>1002.7777777777776</v>
      </c>
    </row>
    <row r="28" spans="1:5" x14ac:dyDescent="0.3">
      <c r="A28">
        <v>25</v>
      </c>
      <c r="B28">
        <v>20</v>
      </c>
      <c r="C28">
        <f t="shared" si="0"/>
        <v>49.666666666666664</v>
      </c>
      <c r="D28">
        <f t="shared" si="1"/>
        <v>-29.666666666666664</v>
      </c>
      <c r="E28">
        <f t="shared" si="2"/>
        <v>880.11111111111097</v>
      </c>
    </row>
    <row r="29" spans="1:5" x14ac:dyDescent="0.3">
      <c r="A29">
        <v>26</v>
      </c>
      <c r="B29">
        <v>83</v>
      </c>
      <c r="C29">
        <f t="shared" si="0"/>
        <v>41</v>
      </c>
      <c r="D29">
        <f t="shared" si="1"/>
        <v>42</v>
      </c>
      <c r="E29">
        <f t="shared" si="2"/>
        <v>1764</v>
      </c>
    </row>
    <row r="30" spans="1:5" x14ac:dyDescent="0.3">
      <c r="A30">
        <v>27</v>
      </c>
      <c r="B30">
        <v>45</v>
      </c>
      <c r="C30">
        <f t="shared" si="0"/>
        <v>60</v>
      </c>
      <c r="D30">
        <f t="shared" si="1"/>
        <v>-15</v>
      </c>
      <c r="E30">
        <f t="shared" si="2"/>
        <v>225</v>
      </c>
    </row>
    <row r="31" spans="1:5" x14ac:dyDescent="0.3">
      <c r="A31">
        <v>28</v>
      </c>
      <c r="B31">
        <v>33</v>
      </c>
      <c r="C31">
        <f t="shared" si="0"/>
        <v>49.333333333333336</v>
      </c>
      <c r="D31">
        <f t="shared" si="1"/>
        <v>-16.333333333333336</v>
      </c>
      <c r="E31">
        <f t="shared" si="2"/>
        <v>266.77777777777783</v>
      </c>
    </row>
    <row r="32" spans="1:5" x14ac:dyDescent="0.3">
      <c r="A32">
        <v>29</v>
      </c>
      <c r="B32">
        <v>29</v>
      </c>
      <c r="C32">
        <f t="shared" si="0"/>
        <v>53.666666666666664</v>
      </c>
      <c r="D32">
        <f t="shared" si="1"/>
        <v>-24.666666666666664</v>
      </c>
      <c r="E32">
        <f t="shared" si="2"/>
        <v>608.44444444444434</v>
      </c>
    </row>
    <row r="33" spans="1:5" x14ac:dyDescent="0.3">
      <c r="A33">
        <v>30</v>
      </c>
      <c r="B33">
        <v>13</v>
      </c>
      <c r="C33">
        <f t="shared" si="0"/>
        <v>35.666666666666664</v>
      </c>
      <c r="D33">
        <f t="shared" si="1"/>
        <v>-22.666666666666664</v>
      </c>
      <c r="E33">
        <f t="shared" si="2"/>
        <v>513.77777777777771</v>
      </c>
    </row>
    <row r="34" spans="1:5" x14ac:dyDescent="0.3">
      <c r="E34" s="1">
        <f>SUM(E7:E33)</f>
        <v>26731.111111111106</v>
      </c>
    </row>
    <row r="35" spans="1:5" x14ac:dyDescent="0.3">
      <c r="A35" t="s">
        <v>17</v>
      </c>
      <c r="B35">
        <v>26731.11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E0E2-9BA8-4EA8-B5E8-3914918DE66A}">
  <sheetPr codeName="Sheet2"/>
  <dimension ref="A1:M165"/>
  <sheetViews>
    <sheetView topLeftCell="A44" workbookViewId="0">
      <selection activeCell="A3" sqref="A3"/>
    </sheetView>
  </sheetViews>
  <sheetFormatPr defaultRowHeight="14.4" x14ac:dyDescent="0.3"/>
  <sheetData>
    <row r="1" spans="1:13" x14ac:dyDescent="0.3">
      <c r="D1" t="s">
        <v>1</v>
      </c>
      <c r="E1" t="s">
        <v>2</v>
      </c>
      <c r="L1" t="s">
        <v>5</v>
      </c>
    </row>
    <row r="2" spans="1:13" x14ac:dyDescent="0.3">
      <c r="B2" t="s">
        <v>0</v>
      </c>
      <c r="C2">
        <v>5026231131</v>
      </c>
      <c r="K2" t="s">
        <v>6</v>
      </c>
      <c r="L2" t="s">
        <v>11</v>
      </c>
    </row>
    <row r="3" spans="1:13" x14ac:dyDescent="0.3">
      <c r="A3" t="s">
        <v>4</v>
      </c>
      <c r="B3" t="s">
        <v>3</v>
      </c>
      <c r="C3" t="s">
        <v>18</v>
      </c>
      <c r="D3" t="s">
        <v>18</v>
      </c>
      <c r="E3" t="s">
        <v>14</v>
      </c>
      <c r="F3" t="s">
        <v>15</v>
      </c>
      <c r="K3" t="s">
        <v>7</v>
      </c>
      <c r="L3" t="s">
        <v>12</v>
      </c>
      <c r="M3" t="s">
        <v>11</v>
      </c>
    </row>
    <row r="4" spans="1:13" x14ac:dyDescent="0.3">
      <c r="A4">
        <v>1</v>
      </c>
      <c r="B4">
        <v>31</v>
      </c>
      <c r="K4" t="s">
        <v>8</v>
      </c>
      <c r="L4" t="s">
        <v>11</v>
      </c>
      <c r="M4" t="s">
        <v>12</v>
      </c>
    </row>
    <row r="5" spans="1:13" x14ac:dyDescent="0.3">
      <c r="A5">
        <f>A4+0.5</f>
        <v>1.5</v>
      </c>
      <c r="K5" t="s">
        <v>9</v>
      </c>
      <c r="L5" t="s">
        <v>12</v>
      </c>
    </row>
    <row r="6" spans="1:13" x14ac:dyDescent="0.3">
      <c r="A6">
        <f t="shared" ref="A6:A62" si="0">A5+0.5</f>
        <v>2</v>
      </c>
      <c r="B6">
        <v>93</v>
      </c>
      <c r="K6" t="s">
        <v>10</v>
      </c>
      <c r="L6" t="s">
        <v>11</v>
      </c>
    </row>
    <row r="7" spans="1:13" x14ac:dyDescent="0.3">
      <c r="A7">
        <f t="shared" si="0"/>
        <v>2.5</v>
      </c>
      <c r="C7">
        <f>SUM(B4,B6,B8,B10)/4</f>
        <v>70</v>
      </c>
    </row>
    <row r="8" spans="1:13" x14ac:dyDescent="0.3">
      <c r="A8">
        <f t="shared" si="0"/>
        <v>3</v>
      </c>
      <c r="B8">
        <v>81</v>
      </c>
      <c r="D8">
        <f>SUM(C7,C9)/2</f>
        <v>67.25</v>
      </c>
      <c r="E8">
        <f>B8-D8</f>
        <v>13.75</v>
      </c>
      <c r="F8">
        <f>E8^2</f>
        <v>189.0625</v>
      </c>
    </row>
    <row r="9" spans="1:13" x14ac:dyDescent="0.3">
      <c r="A9">
        <f t="shared" si="0"/>
        <v>3.5</v>
      </c>
      <c r="C9">
        <f t="shared" ref="C9:C61" si="1">SUM(B6,B8,B10,B12)/4</f>
        <v>64.5</v>
      </c>
    </row>
    <row r="10" spans="1:13" x14ac:dyDescent="0.3">
      <c r="A10">
        <f t="shared" si="0"/>
        <v>4</v>
      </c>
      <c r="B10">
        <v>75</v>
      </c>
      <c r="D10">
        <f t="shared" ref="D10:D60" si="2">SUM(C9,C11)/2</f>
        <v>58.625</v>
      </c>
      <c r="E10">
        <f t="shared" ref="E10:E60" si="3">B10-D10</f>
        <v>16.375</v>
      </c>
      <c r="F10">
        <f t="shared" ref="F10:F60" si="4">E10^2</f>
        <v>268.140625</v>
      </c>
    </row>
    <row r="11" spans="1:13" x14ac:dyDescent="0.3">
      <c r="A11">
        <f t="shared" si="0"/>
        <v>4.5</v>
      </c>
      <c r="C11">
        <f t="shared" si="1"/>
        <v>52.75</v>
      </c>
    </row>
    <row r="12" spans="1:13" x14ac:dyDescent="0.3">
      <c r="A12">
        <f t="shared" si="0"/>
        <v>5</v>
      </c>
      <c r="B12">
        <v>9</v>
      </c>
      <c r="D12">
        <f t="shared" si="2"/>
        <v>53.5</v>
      </c>
      <c r="E12">
        <f t="shared" si="3"/>
        <v>-44.5</v>
      </c>
      <c r="F12">
        <f t="shared" si="4"/>
        <v>1980.25</v>
      </c>
    </row>
    <row r="13" spans="1:13" x14ac:dyDescent="0.3">
      <c r="A13">
        <f t="shared" si="0"/>
        <v>5.5</v>
      </c>
      <c r="C13">
        <f t="shared" si="1"/>
        <v>54.25</v>
      </c>
    </row>
    <row r="14" spans="1:13" x14ac:dyDescent="0.3">
      <c r="A14">
        <f t="shared" si="0"/>
        <v>6</v>
      </c>
      <c r="B14">
        <v>46</v>
      </c>
      <c r="D14">
        <f t="shared" si="2"/>
        <v>49</v>
      </c>
      <c r="E14">
        <f t="shared" si="3"/>
        <v>-3</v>
      </c>
      <c r="F14">
        <f t="shared" si="4"/>
        <v>9</v>
      </c>
    </row>
    <row r="15" spans="1:13" x14ac:dyDescent="0.3">
      <c r="A15">
        <f t="shared" si="0"/>
        <v>6.5</v>
      </c>
      <c r="C15">
        <f t="shared" si="1"/>
        <v>43.75</v>
      </c>
    </row>
    <row r="16" spans="1:13" x14ac:dyDescent="0.3">
      <c r="A16">
        <f t="shared" si="0"/>
        <v>7</v>
      </c>
      <c r="B16">
        <v>87</v>
      </c>
      <c r="D16">
        <f t="shared" si="2"/>
        <v>49.25</v>
      </c>
      <c r="E16">
        <f t="shared" si="3"/>
        <v>37.75</v>
      </c>
      <c r="F16">
        <f t="shared" si="4"/>
        <v>1425.0625</v>
      </c>
    </row>
    <row r="17" spans="1:6" x14ac:dyDescent="0.3">
      <c r="A17">
        <f t="shared" si="0"/>
        <v>7.5</v>
      </c>
      <c r="C17">
        <f t="shared" si="1"/>
        <v>54.75</v>
      </c>
    </row>
    <row r="18" spans="1:6" x14ac:dyDescent="0.3">
      <c r="A18">
        <f t="shared" si="0"/>
        <v>8</v>
      </c>
      <c r="B18">
        <v>33</v>
      </c>
      <c r="D18">
        <f t="shared" si="2"/>
        <v>50.75</v>
      </c>
      <c r="E18">
        <f t="shared" si="3"/>
        <v>-17.75</v>
      </c>
      <c r="F18">
        <f t="shared" si="4"/>
        <v>315.0625</v>
      </c>
    </row>
    <row r="19" spans="1:6" x14ac:dyDescent="0.3">
      <c r="A19">
        <f t="shared" si="0"/>
        <v>8.5</v>
      </c>
      <c r="C19">
        <f t="shared" si="1"/>
        <v>46.75</v>
      </c>
    </row>
    <row r="20" spans="1:6" x14ac:dyDescent="0.3">
      <c r="A20">
        <f t="shared" si="0"/>
        <v>9</v>
      </c>
      <c r="B20">
        <v>53</v>
      </c>
      <c r="D20">
        <f t="shared" si="2"/>
        <v>40.375</v>
      </c>
      <c r="E20">
        <f t="shared" si="3"/>
        <v>12.625</v>
      </c>
      <c r="F20">
        <f t="shared" si="4"/>
        <v>159.390625</v>
      </c>
    </row>
    <row r="21" spans="1:6" x14ac:dyDescent="0.3">
      <c r="A21">
        <f t="shared" si="0"/>
        <v>9.5</v>
      </c>
      <c r="C21">
        <f t="shared" si="1"/>
        <v>34</v>
      </c>
    </row>
    <row r="22" spans="1:6" x14ac:dyDescent="0.3">
      <c r="A22">
        <f t="shared" si="0"/>
        <v>10</v>
      </c>
      <c r="B22">
        <v>14</v>
      </c>
      <c r="D22">
        <f t="shared" si="2"/>
        <v>32.125</v>
      </c>
      <c r="E22">
        <f t="shared" si="3"/>
        <v>-18.125</v>
      </c>
      <c r="F22">
        <f t="shared" si="4"/>
        <v>328.515625</v>
      </c>
    </row>
    <row r="23" spans="1:6" x14ac:dyDescent="0.3">
      <c r="A23">
        <f t="shared" si="0"/>
        <v>10.5</v>
      </c>
      <c r="C23">
        <f t="shared" si="1"/>
        <v>30.25</v>
      </c>
    </row>
    <row r="24" spans="1:6" x14ac:dyDescent="0.3">
      <c r="A24">
        <f t="shared" si="0"/>
        <v>11</v>
      </c>
      <c r="B24">
        <v>36</v>
      </c>
      <c r="D24">
        <f t="shared" si="2"/>
        <v>31.625</v>
      </c>
      <c r="E24">
        <f t="shared" si="3"/>
        <v>4.375</v>
      </c>
      <c r="F24">
        <f t="shared" si="4"/>
        <v>19.140625</v>
      </c>
    </row>
    <row r="25" spans="1:6" x14ac:dyDescent="0.3">
      <c r="A25">
        <f t="shared" si="0"/>
        <v>11.5</v>
      </c>
      <c r="C25">
        <f t="shared" si="1"/>
        <v>33</v>
      </c>
    </row>
    <row r="26" spans="1:6" x14ac:dyDescent="0.3">
      <c r="A26">
        <f t="shared" si="0"/>
        <v>12</v>
      </c>
      <c r="B26">
        <v>18</v>
      </c>
      <c r="D26">
        <f t="shared" si="2"/>
        <v>31.875</v>
      </c>
      <c r="E26">
        <f t="shared" si="3"/>
        <v>-13.875</v>
      </c>
      <c r="F26">
        <f t="shared" si="4"/>
        <v>192.515625</v>
      </c>
    </row>
    <row r="27" spans="1:6" x14ac:dyDescent="0.3">
      <c r="A27">
        <f t="shared" si="0"/>
        <v>12.5</v>
      </c>
      <c r="C27">
        <f t="shared" si="1"/>
        <v>30.75</v>
      </c>
    </row>
    <row r="28" spans="1:6" x14ac:dyDescent="0.3">
      <c r="A28">
        <f t="shared" si="0"/>
        <v>13</v>
      </c>
      <c r="B28">
        <v>64</v>
      </c>
      <c r="D28">
        <f t="shared" si="2"/>
        <v>32.375</v>
      </c>
      <c r="E28">
        <f t="shared" si="3"/>
        <v>31.625</v>
      </c>
      <c r="F28">
        <f t="shared" si="4"/>
        <v>1000.140625</v>
      </c>
    </row>
    <row r="29" spans="1:6" x14ac:dyDescent="0.3">
      <c r="A29">
        <f t="shared" si="0"/>
        <v>13.5</v>
      </c>
      <c r="C29">
        <f t="shared" si="1"/>
        <v>34</v>
      </c>
    </row>
    <row r="30" spans="1:6" x14ac:dyDescent="0.3">
      <c r="A30">
        <f t="shared" si="0"/>
        <v>14</v>
      </c>
      <c r="B30">
        <v>5</v>
      </c>
      <c r="D30">
        <f t="shared" si="2"/>
        <v>41.25</v>
      </c>
      <c r="E30">
        <f t="shared" si="3"/>
        <v>-36.25</v>
      </c>
      <c r="F30">
        <f t="shared" si="4"/>
        <v>1314.0625</v>
      </c>
    </row>
    <row r="31" spans="1:6" x14ac:dyDescent="0.3">
      <c r="A31">
        <f t="shared" si="0"/>
        <v>14.5</v>
      </c>
      <c r="C31">
        <f t="shared" si="1"/>
        <v>48.5</v>
      </c>
    </row>
    <row r="32" spans="1:6" x14ac:dyDescent="0.3">
      <c r="A32">
        <f t="shared" si="0"/>
        <v>15</v>
      </c>
      <c r="B32">
        <v>49</v>
      </c>
      <c r="D32">
        <f t="shared" si="2"/>
        <v>47.5</v>
      </c>
      <c r="E32">
        <f t="shared" si="3"/>
        <v>1.5</v>
      </c>
      <c r="F32">
        <f t="shared" si="4"/>
        <v>2.25</v>
      </c>
    </row>
    <row r="33" spans="1:6" x14ac:dyDescent="0.3">
      <c r="A33">
        <f t="shared" si="0"/>
        <v>15.5</v>
      </c>
      <c r="C33">
        <f t="shared" si="1"/>
        <v>46.5</v>
      </c>
    </row>
    <row r="34" spans="1:6" x14ac:dyDescent="0.3">
      <c r="A34">
        <f t="shared" si="0"/>
        <v>16</v>
      </c>
      <c r="B34">
        <v>76</v>
      </c>
      <c r="D34">
        <f t="shared" si="2"/>
        <v>48.25</v>
      </c>
      <c r="E34">
        <f t="shared" si="3"/>
        <v>27.75</v>
      </c>
      <c r="F34">
        <f t="shared" si="4"/>
        <v>770.0625</v>
      </c>
    </row>
    <row r="35" spans="1:6" x14ac:dyDescent="0.3">
      <c r="A35">
        <f t="shared" si="0"/>
        <v>16.5</v>
      </c>
      <c r="C35">
        <f t="shared" si="1"/>
        <v>50</v>
      </c>
    </row>
    <row r="36" spans="1:6" x14ac:dyDescent="0.3">
      <c r="A36">
        <f t="shared" si="0"/>
        <v>17</v>
      </c>
      <c r="B36">
        <v>56</v>
      </c>
      <c r="D36">
        <f t="shared" si="2"/>
        <v>45.5</v>
      </c>
      <c r="E36">
        <f t="shared" si="3"/>
        <v>10.5</v>
      </c>
      <c r="F36">
        <f t="shared" si="4"/>
        <v>110.25</v>
      </c>
    </row>
    <row r="37" spans="1:6" x14ac:dyDescent="0.3">
      <c r="A37">
        <f t="shared" si="0"/>
        <v>17.5</v>
      </c>
      <c r="C37">
        <f t="shared" si="1"/>
        <v>41</v>
      </c>
    </row>
    <row r="38" spans="1:6" x14ac:dyDescent="0.3">
      <c r="A38">
        <f t="shared" si="0"/>
        <v>18</v>
      </c>
      <c r="B38">
        <v>19</v>
      </c>
      <c r="D38">
        <f t="shared" si="2"/>
        <v>32.25</v>
      </c>
      <c r="E38">
        <f t="shared" si="3"/>
        <v>-13.25</v>
      </c>
      <c r="F38">
        <f t="shared" si="4"/>
        <v>175.5625</v>
      </c>
    </row>
    <row r="39" spans="1:6" x14ac:dyDescent="0.3">
      <c r="A39">
        <f t="shared" si="0"/>
        <v>18.5</v>
      </c>
      <c r="C39">
        <f t="shared" si="1"/>
        <v>23.5</v>
      </c>
    </row>
    <row r="40" spans="1:6" x14ac:dyDescent="0.3">
      <c r="A40">
        <f t="shared" si="0"/>
        <v>19</v>
      </c>
      <c r="B40">
        <v>13</v>
      </c>
      <c r="D40">
        <f t="shared" si="2"/>
        <v>24.5</v>
      </c>
      <c r="E40">
        <f t="shared" si="3"/>
        <v>-11.5</v>
      </c>
      <c r="F40">
        <f t="shared" si="4"/>
        <v>132.25</v>
      </c>
    </row>
    <row r="41" spans="1:6" x14ac:dyDescent="0.3">
      <c r="A41">
        <f t="shared" si="0"/>
        <v>19.5</v>
      </c>
      <c r="C41">
        <f t="shared" si="1"/>
        <v>25.5</v>
      </c>
    </row>
    <row r="42" spans="1:6" x14ac:dyDescent="0.3">
      <c r="A42">
        <f t="shared" si="0"/>
        <v>20</v>
      </c>
      <c r="B42">
        <v>6</v>
      </c>
      <c r="D42">
        <f t="shared" si="2"/>
        <v>28.875</v>
      </c>
      <c r="E42">
        <f t="shared" si="3"/>
        <v>-22.875</v>
      </c>
      <c r="F42">
        <f t="shared" si="4"/>
        <v>523.265625</v>
      </c>
    </row>
    <row r="43" spans="1:6" x14ac:dyDescent="0.3">
      <c r="A43">
        <f t="shared" si="0"/>
        <v>20.5</v>
      </c>
      <c r="C43">
        <f t="shared" si="1"/>
        <v>32.25</v>
      </c>
    </row>
    <row r="44" spans="1:6" x14ac:dyDescent="0.3">
      <c r="A44">
        <f t="shared" si="0"/>
        <v>21</v>
      </c>
      <c r="B44">
        <v>64</v>
      </c>
      <c r="D44">
        <f t="shared" si="2"/>
        <v>33.875</v>
      </c>
      <c r="E44">
        <f t="shared" si="3"/>
        <v>30.125</v>
      </c>
      <c r="F44">
        <f t="shared" si="4"/>
        <v>907.515625</v>
      </c>
    </row>
    <row r="45" spans="1:6" x14ac:dyDescent="0.3">
      <c r="A45">
        <f t="shared" si="0"/>
        <v>21.5</v>
      </c>
      <c r="C45">
        <f t="shared" si="1"/>
        <v>35.5</v>
      </c>
    </row>
    <row r="46" spans="1:6" x14ac:dyDescent="0.3">
      <c r="A46">
        <f t="shared" si="0"/>
        <v>22</v>
      </c>
      <c r="B46">
        <v>46</v>
      </c>
      <c r="D46">
        <f t="shared" si="2"/>
        <v>44.375</v>
      </c>
      <c r="E46">
        <f t="shared" si="3"/>
        <v>1.625</v>
      </c>
      <c r="F46">
        <f t="shared" si="4"/>
        <v>2.640625</v>
      </c>
    </row>
    <row r="47" spans="1:6" x14ac:dyDescent="0.3">
      <c r="A47">
        <f t="shared" si="0"/>
        <v>22.5</v>
      </c>
      <c r="C47">
        <f t="shared" si="1"/>
        <v>53.25</v>
      </c>
    </row>
    <row r="48" spans="1:6" x14ac:dyDescent="0.3">
      <c r="A48">
        <f t="shared" si="0"/>
        <v>23</v>
      </c>
      <c r="B48">
        <v>26</v>
      </c>
      <c r="D48">
        <f t="shared" si="2"/>
        <v>47.75</v>
      </c>
      <c r="E48">
        <f t="shared" si="3"/>
        <v>-21.75</v>
      </c>
      <c r="F48">
        <f t="shared" si="4"/>
        <v>473.0625</v>
      </c>
    </row>
    <row r="49" spans="1:6" x14ac:dyDescent="0.3">
      <c r="A49">
        <f t="shared" si="0"/>
        <v>23.5</v>
      </c>
      <c r="C49">
        <f t="shared" si="1"/>
        <v>42.25</v>
      </c>
    </row>
    <row r="50" spans="1:6" x14ac:dyDescent="0.3">
      <c r="A50">
        <f t="shared" si="0"/>
        <v>24</v>
      </c>
      <c r="B50">
        <v>77</v>
      </c>
      <c r="D50">
        <f t="shared" si="2"/>
        <v>46.875</v>
      </c>
      <c r="E50">
        <f t="shared" si="3"/>
        <v>30.125</v>
      </c>
      <c r="F50">
        <f t="shared" si="4"/>
        <v>907.515625</v>
      </c>
    </row>
    <row r="51" spans="1:6" x14ac:dyDescent="0.3">
      <c r="A51">
        <f t="shared" si="0"/>
        <v>24.5</v>
      </c>
      <c r="C51">
        <f t="shared" si="1"/>
        <v>51.5</v>
      </c>
    </row>
    <row r="52" spans="1:6" x14ac:dyDescent="0.3">
      <c r="A52">
        <f t="shared" si="0"/>
        <v>25</v>
      </c>
      <c r="B52">
        <v>20</v>
      </c>
      <c r="D52">
        <f t="shared" si="2"/>
        <v>53.875</v>
      </c>
      <c r="E52">
        <f t="shared" si="3"/>
        <v>-33.875</v>
      </c>
      <c r="F52">
        <f t="shared" si="4"/>
        <v>1147.515625</v>
      </c>
    </row>
    <row r="53" spans="1:6" x14ac:dyDescent="0.3">
      <c r="A53">
        <f t="shared" si="0"/>
        <v>25.5</v>
      </c>
      <c r="C53">
        <f t="shared" si="1"/>
        <v>56.25</v>
      </c>
    </row>
    <row r="54" spans="1:6" x14ac:dyDescent="0.3">
      <c r="A54">
        <f t="shared" si="0"/>
        <v>26</v>
      </c>
      <c r="B54">
        <v>83</v>
      </c>
      <c r="D54">
        <f t="shared" si="2"/>
        <v>50.75</v>
      </c>
      <c r="E54">
        <f t="shared" si="3"/>
        <v>32.25</v>
      </c>
      <c r="F54">
        <f t="shared" si="4"/>
        <v>1040.0625</v>
      </c>
    </row>
    <row r="55" spans="1:6" x14ac:dyDescent="0.3">
      <c r="A55">
        <f t="shared" si="0"/>
        <v>26.5</v>
      </c>
      <c r="C55">
        <f t="shared" si="1"/>
        <v>45.25</v>
      </c>
    </row>
    <row r="56" spans="1:6" x14ac:dyDescent="0.3">
      <c r="A56">
        <f t="shared" si="0"/>
        <v>27</v>
      </c>
      <c r="B56">
        <v>45</v>
      </c>
      <c r="D56">
        <f t="shared" si="2"/>
        <v>46.375</v>
      </c>
      <c r="E56">
        <f t="shared" si="3"/>
        <v>-1.375</v>
      </c>
      <c r="F56">
        <f t="shared" si="4"/>
        <v>1.890625</v>
      </c>
    </row>
    <row r="57" spans="1:6" x14ac:dyDescent="0.3">
      <c r="A57">
        <f t="shared" si="0"/>
        <v>27.5</v>
      </c>
      <c r="C57">
        <f t="shared" si="1"/>
        <v>47.5</v>
      </c>
    </row>
    <row r="58" spans="1:6" x14ac:dyDescent="0.3">
      <c r="A58">
        <f t="shared" si="0"/>
        <v>28</v>
      </c>
      <c r="B58">
        <v>33</v>
      </c>
      <c r="D58">
        <f t="shared" si="2"/>
        <v>38.75</v>
      </c>
      <c r="E58">
        <f t="shared" si="3"/>
        <v>-5.75</v>
      </c>
      <c r="F58">
        <f t="shared" si="4"/>
        <v>33.0625</v>
      </c>
    </row>
    <row r="59" spans="1:6" x14ac:dyDescent="0.3">
      <c r="A59">
        <f t="shared" si="0"/>
        <v>28.5</v>
      </c>
      <c r="C59">
        <f t="shared" si="1"/>
        <v>30</v>
      </c>
    </row>
    <row r="60" spans="1:6" x14ac:dyDescent="0.3">
      <c r="A60">
        <f t="shared" si="0"/>
        <v>29</v>
      </c>
      <c r="B60">
        <v>29</v>
      </c>
      <c r="D60">
        <f t="shared" si="2"/>
        <v>24.375</v>
      </c>
      <c r="E60">
        <f t="shared" si="3"/>
        <v>4.625</v>
      </c>
      <c r="F60">
        <f t="shared" si="4"/>
        <v>21.390625</v>
      </c>
    </row>
    <row r="61" spans="1:6" x14ac:dyDescent="0.3">
      <c r="A61">
        <f t="shared" si="0"/>
        <v>29.5</v>
      </c>
      <c r="C61">
        <f t="shared" si="1"/>
        <v>18.75</v>
      </c>
    </row>
    <row r="62" spans="1:6" x14ac:dyDescent="0.3">
      <c r="A62">
        <f t="shared" si="0"/>
        <v>30</v>
      </c>
      <c r="B62">
        <v>13</v>
      </c>
    </row>
    <row r="63" spans="1:6" x14ac:dyDescent="0.3">
      <c r="E63" s="1" t="s">
        <v>16</v>
      </c>
      <c r="F63">
        <f>SUM(F8:F60)</f>
        <v>13448.640625</v>
      </c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F676-71E6-4A13-A17E-9C901866B9DA}">
  <dimension ref="A1:M63"/>
  <sheetViews>
    <sheetView workbookViewId="0">
      <selection activeCell="C4" sqref="C4"/>
    </sheetView>
  </sheetViews>
  <sheetFormatPr defaultRowHeight="14.4" x14ac:dyDescent="0.3"/>
  <sheetData>
    <row r="1" spans="1:13" x14ac:dyDescent="0.3">
      <c r="D1" t="s">
        <v>1</v>
      </c>
      <c r="E1" t="s">
        <v>2</v>
      </c>
      <c r="L1" t="s">
        <v>5</v>
      </c>
    </row>
    <row r="2" spans="1:13" x14ac:dyDescent="0.3">
      <c r="B2" t="s">
        <v>0</v>
      </c>
      <c r="C2">
        <v>5026231131</v>
      </c>
      <c r="K2" t="s">
        <v>6</v>
      </c>
      <c r="L2" t="s">
        <v>11</v>
      </c>
    </row>
    <row r="3" spans="1:13" x14ac:dyDescent="0.3">
      <c r="A3" t="s">
        <v>4</v>
      </c>
      <c r="B3" t="s">
        <v>3</v>
      </c>
      <c r="C3" t="s">
        <v>19</v>
      </c>
      <c r="E3" t="s">
        <v>14</v>
      </c>
      <c r="F3" t="s">
        <v>15</v>
      </c>
      <c r="K3" t="s">
        <v>7</v>
      </c>
      <c r="L3" t="s">
        <v>12</v>
      </c>
      <c r="M3" t="s">
        <v>11</v>
      </c>
    </row>
    <row r="4" spans="1:13" x14ac:dyDescent="0.3">
      <c r="A4">
        <v>1</v>
      </c>
      <c r="B4">
        <v>31</v>
      </c>
      <c r="C4">
        <v>31</v>
      </c>
      <c r="E4">
        <v>0</v>
      </c>
      <c r="F4">
        <v>0</v>
      </c>
      <c r="K4" t="s">
        <v>8</v>
      </c>
      <c r="L4" t="s">
        <v>11</v>
      </c>
      <c r="M4" t="s">
        <v>12</v>
      </c>
    </row>
    <row r="5" spans="1:13" x14ac:dyDescent="0.3">
      <c r="A5">
        <v>2</v>
      </c>
      <c r="B5">
        <v>93</v>
      </c>
      <c r="C5">
        <v>93</v>
      </c>
      <c r="E5">
        <v>0</v>
      </c>
      <c r="F5">
        <v>0</v>
      </c>
    </row>
    <row r="6" spans="1:13" x14ac:dyDescent="0.3">
      <c r="A6">
        <v>3</v>
      </c>
      <c r="B6">
        <v>81</v>
      </c>
      <c r="C6">
        <v>81</v>
      </c>
      <c r="E6">
        <v>0</v>
      </c>
      <c r="F6">
        <v>0</v>
      </c>
      <c r="K6" t="s">
        <v>9</v>
      </c>
      <c r="L6" t="s">
        <v>12</v>
      </c>
    </row>
    <row r="7" spans="1:13" x14ac:dyDescent="0.3">
      <c r="A7">
        <v>4</v>
      </c>
      <c r="B7">
        <v>75</v>
      </c>
      <c r="C7">
        <v>75</v>
      </c>
      <c r="E7">
        <v>0</v>
      </c>
      <c r="F7">
        <v>0</v>
      </c>
    </row>
    <row r="8" spans="1:13" x14ac:dyDescent="0.3">
      <c r="A8">
        <v>5</v>
      </c>
      <c r="B8">
        <v>9</v>
      </c>
      <c r="C8">
        <v>9</v>
      </c>
      <c r="E8">
        <v>0</v>
      </c>
      <c r="F8">
        <v>0</v>
      </c>
      <c r="K8" t="s">
        <v>10</v>
      </c>
      <c r="L8" t="s">
        <v>11</v>
      </c>
    </row>
    <row r="9" spans="1:13" x14ac:dyDescent="0.3">
      <c r="A9">
        <v>6</v>
      </c>
      <c r="B9">
        <v>46</v>
      </c>
      <c r="C9">
        <v>46</v>
      </c>
      <c r="E9">
        <v>0</v>
      </c>
      <c r="F9">
        <v>0</v>
      </c>
    </row>
    <row r="10" spans="1:13" x14ac:dyDescent="0.3">
      <c r="A10">
        <v>7</v>
      </c>
      <c r="B10">
        <v>87</v>
      </c>
      <c r="C10">
        <v>87</v>
      </c>
      <c r="E10">
        <v>0</v>
      </c>
      <c r="F10">
        <v>0</v>
      </c>
    </row>
    <row r="11" spans="1:13" x14ac:dyDescent="0.3">
      <c r="A11">
        <v>8</v>
      </c>
      <c r="B11">
        <v>33</v>
      </c>
      <c r="C11">
        <v>33</v>
      </c>
      <c r="E11">
        <v>0</v>
      </c>
      <c r="F11">
        <v>0</v>
      </c>
    </row>
    <row r="12" spans="1:13" x14ac:dyDescent="0.3">
      <c r="A12">
        <v>9</v>
      </c>
      <c r="B12">
        <v>53</v>
      </c>
      <c r="C12">
        <v>53</v>
      </c>
      <c r="E12">
        <v>0</v>
      </c>
      <c r="F12">
        <v>0</v>
      </c>
    </row>
    <row r="13" spans="1:13" x14ac:dyDescent="0.3">
      <c r="A13">
        <v>10</v>
      </c>
      <c r="B13">
        <v>14</v>
      </c>
      <c r="C13">
        <v>14</v>
      </c>
      <c r="E13">
        <v>0</v>
      </c>
      <c r="F13">
        <v>0</v>
      </c>
    </row>
    <row r="14" spans="1:13" x14ac:dyDescent="0.3">
      <c r="A14">
        <v>11</v>
      </c>
      <c r="B14">
        <v>36</v>
      </c>
      <c r="C14">
        <v>36</v>
      </c>
      <c r="E14">
        <v>0</v>
      </c>
      <c r="F14">
        <v>0</v>
      </c>
    </row>
    <row r="15" spans="1:13" x14ac:dyDescent="0.3">
      <c r="A15">
        <v>12</v>
      </c>
      <c r="B15">
        <v>18</v>
      </c>
      <c r="C15">
        <v>18</v>
      </c>
      <c r="E15">
        <v>0</v>
      </c>
      <c r="F15">
        <v>0</v>
      </c>
    </row>
    <row r="16" spans="1:13" x14ac:dyDescent="0.3">
      <c r="A16">
        <v>13</v>
      </c>
      <c r="B16">
        <v>64</v>
      </c>
      <c r="C16">
        <v>64</v>
      </c>
      <c r="E16">
        <v>0</v>
      </c>
      <c r="F16">
        <v>0</v>
      </c>
    </row>
    <row r="17" spans="1:6" x14ac:dyDescent="0.3">
      <c r="A17">
        <v>14</v>
      </c>
      <c r="B17">
        <v>5</v>
      </c>
      <c r="C17">
        <v>5</v>
      </c>
      <c r="E17">
        <v>0</v>
      </c>
      <c r="F17">
        <v>0</v>
      </c>
    </row>
    <row r="18" spans="1:6" x14ac:dyDescent="0.3">
      <c r="A18">
        <v>15</v>
      </c>
      <c r="B18">
        <v>49</v>
      </c>
      <c r="C18">
        <v>49</v>
      </c>
      <c r="E18">
        <v>0</v>
      </c>
      <c r="F18">
        <v>0</v>
      </c>
    </row>
    <row r="19" spans="1:6" x14ac:dyDescent="0.3">
      <c r="A19">
        <v>16</v>
      </c>
      <c r="B19">
        <v>76</v>
      </c>
      <c r="C19">
        <v>76</v>
      </c>
      <c r="E19">
        <v>0</v>
      </c>
      <c r="F19">
        <v>0</v>
      </c>
    </row>
    <row r="20" spans="1:6" x14ac:dyDescent="0.3">
      <c r="A20">
        <v>17</v>
      </c>
      <c r="B20">
        <v>56</v>
      </c>
      <c r="C20">
        <v>56</v>
      </c>
      <c r="E20">
        <v>0</v>
      </c>
      <c r="F20">
        <v>0</v>
      </c>
    </row>
    <row r="21" spans="1:6" x14ac:dyDescent="0.3">
      <c r="A21">
        <v>18</v>
      </c>
      <c r="B21">
        <v>19</v>
      </c>
      <c r="C21">
        <v>19</v>
      </c>
      <c r="E21">
        <v>0</v>
      </c>
      <c r="F21">
        <v>0</v>
      </c>
    </row>
    <row r="22" spans="1:6" x14ac:dyDescent="0.3">
      <c r="A22">
        <v>19</v>
      </c>
      <c r="B22">
        <v>13</v>
      </c>
      <c r="C22">
        <v>13</v>
      </c>
      <c r="E22">
        <v>0</v>
      </c>
      <c r="F22">
        <v>0</v>
      </c>
    </row>
    <row r="23" spans="1:6" x14ac:dyDescent="0.3">
      <c r="A23">
        <v>20</v>
      </c>
      <c r="B23">
        <v>6</v>
      </c>
      <c r="C23">
        <v>6</v>
      </c>
      <c r="E23">
        <v>0</v>
      </c>
      <c r="F23">
        <v>0</v>
      </c>
    </row>
    <row r="24" spans="1:6" x14ac:dyDescent="0.3">
      <c r="A24">
        <v>21</v>
      </c>
      <c r="B24">
        <v>64</v>
      </c>
      <c r="C24">
        <v>64</v>
      </c>
      <c r="E24">
        <v>0</v>
      </c>
      <c r="F24">
        <v>0</v>
      </c>
    </row>
    <row r="25" spans="1:6" x14ac:dyDescent="0.3">
      <c r="A25">
        <v>22</v>
      </c>
      <c r="B25">
        <v>46</v>
      </c>
      <c r="C25">
        <v>46</v>
      </c>
      <c r="E25">
        <v>0</v>
      </c>
      <c r="F25">
        <v>0</v>
      </c>
    </row>
    <row r="26" spans="1:6" x14ac:dyDescent="0.3">
      <c r="A26">
        <v>23</v>
      </c>
      <c r="B26">
        <v>26</v>
      </c>
      <c r="C26">
        <v>26</v>
      </c>
      <c r="E26">
        <v>0</v>
      </c>
      <c r="F26">
        <v>0</v>
      </c>
    </row>
    <row r="27" spans="1:6" x14ac:dyDescent="0.3">
      <c r="A27">
        <v>24</v>
      </c>
      <c r="B27">
        <v>77</v>
      </c>
      <c r="C27">
        <v>77</v>
      </c>
      <c r="E27">
        <v>0</v>
      </c>
      <c r="F27">
        <v>0</v>
      </c>
    </row>
    <row r="28" spans="1:6" x14ac:dyDescent="0.3">
      <c r="A28">
        <v>25</v>
      </c>
      <c r="B28">
        <v>20</v>
      </c>
      <c r="C28">
        <v>20</v>
      </c>
      <c r="E28">
        <v>0</v>
      </c>
      <c r="F28">
        <v>0</v>
      </c>
    </row>
    <row r="29" spans="1:6" x14ac:dyDescent="0.3">
      <c r="A29">
        <v>26</v>
      </c>
      <c r="B29">
        <v>83</v>
      </c>
      <c r="C29">
        <v>83</v>
      </c>
      <c r="E29">
        <v>0</v>
      </c>
      <c r="F29">
        <v>0</v>
      </c>
    </row>
    <row r="30" spans="1:6" x14ac:dyDescent="0.3">
      <c r="A30">
        <v>27</v>
      </c>
      <c r="B30">
        <v>45</v>
      </c>
      <c r="C30">
        <v>45</v>
      </c>
      <c r="E30">
        <v>0</v>
      </c>
      <c r="F30">
        <v>0</v>
      </c>
    </row>
    <row r="31" spans="1:6" x14ac:dyDescent="0.3">
      <c r="A31">
        <v>28</v>
      </c>
      <c r="B31">
        <v>33</v>
      </c>
      <c r="C31">
        <v>33</v>
      </c>
      <c r="E31">
        <v>0</v>
      </c>
      <c r="F31">
        <v>0</v>
      </c>
    </row>
    <row r="32" spans="1:6" x14ac:dyDescent="0.3">
      <c r="A32">
        <v>29</v>
      </c>
      <c r="B32">
        <v>29</v>
      </c>
      <c r="C32">
        <v>29</v>
      </c>
      <c r="E32">
        <v>0</v>
      </c>
      <c r="F32">
        <v>0</v>
      </c>
    </row>
    <row r="33" spans="1:6" x14ac:dyDescent="0.3">
      <c r="A33">
        <v>30</v>
      </c>
      <c r="B33">
        <v>13</v>
      </c>
      <c r="C33">
        <v>13</v>
      </c>
      <c r="E33">
        <v>0</v>
      </c>
      <c r="F33">
        <v>0</v>
      </c>
    </row>
    <row r="35" spans="1:6" x14ac:dyDescent="0.3">
      <c r="E35" t="s">
        <v>16</v>
      </c>
      <c r="F35">
        <v>0</v>
      </c>
    </row>
    <row r="63" spans="5:5" x14ac:dyDescent="0.3">
      <c r="E63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450F-BE46-4B2F-9727-D0FE749FB274}">
  <sheetPr codeName="Sheet3"/>
  <dimension ref="A1:M34"/>
  <sheetViews>
    <sheetView workbookViewId="0">
      <selection activeCell="F6" sqref="F6"/>
    </sheetView>
  </sheetViews>
  <sheetFormatPr defaultRowHeight="14.4" x14ac:dyDescent="0.3"/>
  <sheetData>
    <row r="1" spans="1:13" x14ac:dyDescent="0.3">
      <c r="D1" t="s">
        <v>1</v>
      </c>
      <c r="E1" t="s">
        <v>2</v>
      </c>
      <c r="L1" t="s">
        <v>5</v>
      </c>
    </row>
    <row r="2" spans="1:13" x14ac:dyDescent="0.3">
      <c r="B2" t="s">
        <v>0</v>
      </c>
      <c r="C2">
        <v>5026231131</v>
      </c>
      <c r="K2" t="s">
        <v>6</v>
      </c>
      <c r="L2" t="s">
        <v>11</v>
      </c>
    </row>
    <row r="3" spans="1:13" x14ac:dyDescent="0.3">
      <c r="A3" t="s">
        <v>4</v>
      </c>
      <c r="B3" t="s">
        <v>3</v>
      </c>
      <c r="C3" t="s">
        <v>22</v>
      </c>
      <c r="D3" t="s">
        <v>23</v>
      </c>
      <c r="E3" t="s">
        <v>20</v>
      </c>
      <c r="F3" t="s">
        <v>21</v>
      </c>
      <c r="G3" t="s">
        <v>24</v>
      </c>
      <c r="K3" t="s">
        <v>7</v>
      </c>
      <c r="L3" t="s">
        <v>12</v>
      </c>
      <c r="M3" t="s">
        <v>11</v>
      </c>
    </row>
    <row r="4" spans="1:13" x14ac:dyDescent="0.3">
      <c r="A4">
        <v>1</v>
      </c>
      <c r="B4">
        <v>31</v>
      </c>
      <c r="K4" t="s">
        <v>8</v>
      </c>
      <c r="L4" t="s">
        <v>11</v>
      </c>
      <c r="M4" t="s">
        <v>12</v>
      </c>
    </row>
    <row r="5" spans="1:13" x14ac:dyDescent="0.3">
      <c r="A5">
        <v>2</v>
      </c>
      <c r="B5">
        <v>93</v>
      </c>
      <c r="K5" t="s">
        <v>9</v>
      </c>
      <c r="L5" t="s">
        <v>12</v>
      </c>
    </row>
    <row r="6" spans="1:13" x14ac:dyDescent="0.3">
      <c r="A6">
        <v>3</v>
      </c>
      <c r="B6">
        <v>81</v>
      </c>
      <c r="C6">
        <f>SUM(B4,B5,B6,)/3</f>
        <v>68.333333333333329</v>
      </c>
      <c r="D6">
        <f>SUM(B4,B5,B6,)/3</f>
        <v>68.333333333333329</v>
      </c>
      <c r="E6">
        <f>D6*2-C6</f>
        <v>68.333333333333329</v>
      </c>
      <c r="F6">
        <f>2*(C6-D6)/3-1</f>
        <v>-1</v>
      </c>
      <c r="K6" t="s">
        <v>10</v>
      </c>
      <c r="L6" t="s">
        <v>11</v>
      </c>
    </row>
    <row r="7" spans="1:13" x14ac:dyDescent="0.3">
      <c r="A7">
        <v>4</v>
      </c>
      <c r="B7">
        <v>75</v>
      </c>
      <c r="C7">
        <f t="shared" ref="C7:C33" si="0">SUM(B5,B6,B7,)/3</f>
        <v>83</v>
      </c>
      <c r="D7">
        <f t="shared" ref="D7:D33" si="1">SUM(B5,B6,B7,)/3</f>
        <v>83</v>
      </c>
      <c r="E7">
        <f t="shared" ref="E7:E33" si="2">D7*2-C7</f>
        <v>83</v>
      </c>
      <c r="F7">
        <f t="shared" ref="F7:F33" si="3">2*(C7-D7)/3-1</f>
        <v>-1</v>
      </c>
    </row>
    <row r="8" spans="1:13" x14ac:dyDescent="0.3">
      <c r="A8">
        <v>5</v>
      </c>
      <c r="B8">
        <v>9</v>
      </c>
      <c r="C8">
        <f t="shared" si="0"/>
        <v>55</v>
      </c>
      <c r="D8">
        <f t="shared" si="1"/>
        <v>55</v>
      </c>
      <c r="E8">
        <f t="shared" si="2"/>
        <v>55</v>
      </c>
      <c r="F8">
        <f t="shared" si="3"/>
        <v>-1</v>
      </c>
    </row>
    <row r="9" spans="1:13" x14ac:dyDescent="0.3">
      <c r="A9">
        <v>6</v>
      </c>
      <c r="B9">
        <v>46</v>
      </c>
      <c r="C9">
        <f t="shared" si="0"/>
        <v>43.333333333333336</v>
      </c>
      <c r="D9">
        <f t="shared" si="1"/>
        <v>43.333333333333336</v>
      </c>
      <c r="E9">
        <f t="shared" si="2"/>
        <v>43.333333333333336</v>
      </c>
      <c r="F9">
        <f t="shared" si="3"/>
        <v>-1</v>
      </c>
    </row>
    <row r="10" spans="1:13" x14ac:dyDescent="0.3">
      <c r="A10">
        <v>7</v>
      </c>
      <c r="B10">
        <v>87</v>
      </c>
      <c r="C10">
        <f t="shared" si="0"/>
        <v>47.333333333333336</v>
      </c>
      <c r="D10">
        <f t="shared" si="1"/>
        <v>47.333333333333336</v>
      </c>
      <c r="E10">
        <f t="shared" si="2"/>
        <v>47.333333333333336</v>
      </c>
      <c r="F10">
        <f t="shared" si="3"/>
        <v>-1</v>
      </c>
    </row>
    <row r="11" spans="1:13" x14ac:dyDescent="0.3">
      <c r="A11">
        <v>8</v>
      </c>
      <c r="B11">
        <v>33</v>
      </c>
      <c r="C11">
        <f t="shared" si="0"/>
        <v>55.333333333333336</v>
      </c>
      <c r="D11">
        <f t="shared" si="1"/>
        <v>55.333333333333336</v>
      </c>
      <c r="E11">
        <f t="shared" si="2"/>
        <v>55.333333333333336</v>
      </c>
      <c r="F11">
        <f t="shared" si="3"/>
        <v>-1</v>
      </c>
    </row>
    <row r="12" spans="1:13" x14ac:dyDescent="0.3">
      <c r="A12">
        <v>9</v>
      </c>
      <c r="B12">
        <v>53</v>
      </c>
      <c r="C12">
        <f t="shared" si="0"/>
        <v>57.666666666666664</v>
      </c>
      <c r="D12">
        <f t="shared" si="1"/>
        <v>57.666666666666664</v>
      </c>
      <c r="E12">
        <f t="shared" si="2"/>
        <v>57.666666666666664</v>
      </c>
      <c r="F12">
        <f t="shared" si="3"/>
        <v>-1</v>
      </c>
    </row>
    <row r="13" spans="1:13" x14ac:dyDescent="0.3">
      <c r="A13">
        <v>10</v>
      </c>
      <c r="B13">
        <v>14</v>
      </c>
      <c r="C13">
        <f t="shared" si="0"/>
        <v>33.333333333333336</v>
      </c>
      <c r="D13">
        <f t="shared" si="1"/>
        <v>33.333333333333336</v>
      </c>
      <c r="E13">
        <f t="shared" si="2"/>
        <v>33.333333333333336</v>
      </c>
      <c r="F13">
        <f t="shared" si="3"/>
        <v>-1</v>
      </c>
    </row>
    <row r="14" spans="1:13" x14ac:dyDescent="0.3">
      <c r="A14">
        <v>11</v>
      </c>
      <c r="B14">
        <v>36</v>
      </c>
      <c r="C14">
        <f t="shared" si="0"/>
        <v>34.333333333333336</v>
      </c>
      <c r="D14">
        <f t="shared" si="1"/>
        <v>34.333333333333336</v>
      </c>
      <c r="E14">
        <f t="shared" si="2"/>
        <v>34.333333333333336</v>
      </c>
      <c r="F14">
        <f t="shared" si="3"/>
        <v>-1</v>
      </c>
    </row>
    <row r="15" spans="1:13" x14ac:dyDescent="0.3">
      <c r="A15">
        <v>12</v>
      </c>
      <c r="B15">
        <v>18</v>
      </c>
      <c r="C15">
        <f t="shared" si="0"/>
        <v>22.666666666666668</v>
      </c>
      <c r="D15">
        <f t="shared" si="1"/>
        <v>22.666666666666668</v>
      </c>
      <c r="E15">
        <f t="shared" si="2"/>
        <v>22.666666666666668</v>
      </c>
      <c r="F15">
        <f t="shared" si="3"/>
        <v>-1</v>
      </c>
    </row>
    <row r="16" spans="1:13" x14ac:dyDescent="0.3">
      <c r="A16">
        <v>13</v>
      </c>
      <c r="B16">
        <v>64</v>
      </c>
      <c r="C16">
        <f t="shared" si="0"/>
        <v>39.333333333333336</v>
      </c>
      <c r="D16">
        <f t="shared" si="1"/>
        <v>39.333333333333336</v>
      </c>
      <c r="E16">
        <f t="shared" si="2"/>
        <v>39.333333333333336</v>
      </c>
      <c r="F16">
        <f t="shared" si="3"/>
        <v>-1</v>
      </c>
    </row>
    <row r="17" spans="1:6" x14ac:dyDescent="0.3">
      <c r="A17">
        <v>14</v>
      </c>
      <c r="B17">
        <v>5</v>
      </c>
      <c r="C17">
        <f t="shared" si="0"/>
        <v>29</v>
      </c>
      <c r="D17">
        <f t="shared" si="1"/>
        <v>29</v>
      </c>
      <c r="E17">
        <f t="shared" si="2"/>
        <v>29</v>
      </c>
      <c r="F17">
        <f t="shared" si="3"/>
        <v>-1</v>
      </c>
    </row>
    <row r="18" spans="1:6" x14ac:dyDescent="0.3">
      <c r="A18">
        <v>15</v>
      </c>
      <c r="B18">
        <v>49</v>
      </c>
      <c r="C18">
        <f t="shared" si="0"/>
        <v>39.333333333333336</v>
      </c>
      <c r="D18">
        <f t="shared" si="1"/>
        <v>39.333333333333336</v>
      </c>
      <c r="E18">
        <f t="shared" si="2"/>
        <v>39.333333333333336</v>
      </c>
      <c r="F18">
        <f t="shared" si="3"/>
        <v>-1</v>
      </c>
    </row>
    <row r="19" spans="1:6" x14ac:dyDescent="0.3">
      <c r="A19">
        <v>16</v>
      </c>
      <c r="B19">
        <v>76</v>
      </c>
      <c r="C19">
        <f t="shared" si="0"/>
        <v>43.333333333333336</v>
      </c>
      <c r="D19">
        <f t="shared" si="1"/>
        <v>43.333333333333336</v>
      </c>
      <c r="E19">
        <f t="shared" si="2"/>
        <v>43.333333333333336</v>
      </c>
      <c r="F19">
        <f t="shared" si="3"/>
        <v>-1</v>
      </c>
    </row>
    <row r="20" spans="1:6" x14ac:dyDescent="0.3">
      <c r="A20">
        <v>17</v>
      </c>
      <c r="B20">
        <v>56</v>
      </c>
      <c r="C20">
        <f t="shared" si="0"/>
        <v>60.333333333333336</v>
      </c>
      <c r="D20">
        <f t="shared" si="1"/>
        <v>60.333333333333336</v>
      </c>
      <c r="E20">
        <f t="shared" si="2"/>
        <v>60.333333333333336</v>
      </c>
      <c r="F20">
        <f t="shared" si="3"/>
        <v>-1</v>
      </c>
    </row>
    <row r="21" spans="1:6" x14ac:dyDescent="0.3">
      <c r="A21">
        <v>18</v>
      </c>
      <c r="B21">
        <v>19</v>
      </c>
      <c r="C21">
        <f t="shared" si="0"/>
        <v>50.333333333333336</v>
      </c>
      <c r="D21">
        <f t="shared" si="1"/>
        <v>50.333333333333336</v>
      </c>
      <c r="E21">
        <f t="shared" si="2"/>
        <v>50.333333333333336</v>
      </c>
      <c r="F21">
        <f t="shared" si="3"/>
        <v>-1</v>
      </c>
    </row>
    <row r="22" spans="1:6" x14ac:dyDescent="0.3">
      <c r="A22">
        <v>19</v>
      </c>
      <c r="B22">
        <v>13</v>
      </c>
      <c r="C22">
        <f t="shared" si="0"/>
        <v>29.333333333333332</v>
      </c>
      <c r="D22">
        <f t="shared" si="1"/>
        <v>29.333333333333332</v>
      </c>
      <c r="E22">
        <f t="shared" si="2"/>
        <v>29.333333333333332</v>
      </c>
      <c r="F22">
        <f t="shared" si="3"/>
        <v>-1</v>
      </c>
    </row>
    <row r="23" spans="1:6" x14ac:dyDescent="0.3">
      <c r="A23">
        <v>20</v>
      </c>
      <c r="B23">
        <v>6</v>
      </c>
      <c r="C23">
        <f t="shared" si="0"/>
        <v>12.666666666666666</v>
      </c>
      <c r="D23">
        <f t="shared" si="1"/>
        <v>12.666666666666666</v>
      </c>
      <c r="E23">
        <f t="shared" si="2"/>
        <v>12.666666666666666</v>
      </c>
      <c r="F23">
        <f t="shared" si="3"/>
        <v>-1</v>
      </c>
    </row>
    <row r="24" spans="1:6" x14ac:dyDescent="0.3">
      <c r="A24">
        <v>21</v>
      </c>
      <c r="B24">
        <v>64</v>
      </c>
      <c r="C24">
        <f t="shared" si="0"/>
        <v>27.666666666666668</v>
      </c>
      <c r="D24">
        <f t="shared" si="1"/>
        <v>27.666666666666668</v>
      </c>
      <c r="E24">
        <f t="shared" si="2"/>
        <v>27.666666666666668</v>
      </c>
      <c r="F24">
        <f t="shared" si="3"/>
        <v>-1</v>
      </c>
    </row>
    <row r="25" spans="1:6" x14ac:dyDescent="0.3">
      <c r="A25">
        <v>22</v>
      </c>
      <c r="B25">
        <v>46</v>
      </c>
      <c r="C25">
        <f t="shared" si="0"/>
        <v>38.666666666666664</v>
      </c>
      <c r="D25">
        <f t="shared" si="1"/>
        <v>38.666666666666664</v>
      </c>
      <c r="E25">
        <f t="shared" si="2"/>
        <v>38.666666666666664</v>
      </c>
      <c r="F25">
        <f t="shared" si="3"/>
        <v>-1</v>
      </c>
    </row>
    <row r="26" spans="1:6" x14ac:dyDescent="0.3">
      <c r="A26">
        <v>23</v>
      </c>
      <c r="B26">
        <v>26</v>
      </c>
      <c r="C26">
        <f t="shared" si="0"/>
        <v>45.333333333333336</v>
      </c>
      <c r="D26">
        <f t="shared" si="1"/>
        <v>45.333333333333336</v>
      </c>
      <c r="E26">
        <f t="shared" si="2"/>
        <v>45.333333333333336</v>
      </c>
      <c r="F26">
        <f t="shared" si="3"/>
        <v>-1</v>
      </c>
    </row>
    <row r="27" spans="1:6" x14ac:dyDescent="0.3">
      <c r="A27">
        <v>24</v>
      </c>
      <c r="B27">
        <v>77</v>
      </c>
      <c r="C27">
        <f t="shared" si="0"/>
        <v>49.666666666666664</v>
      </c>
      <c r="D27">
        <f t="shared" si="1"/>
        <v>49.666666666666664</v>
      </c>
      <c r="E27">
        <f t="shared" si="2"/>
        <v>49.666666666666664</v>
      </c>
      <c r="F27">
        <f t="shared" si="3"/>
        <v>-1</v>
      </c>
    </row>
    <row r="28" spans="1:6" x14ac:dyDescent="0.3">
      <c r="A28">
        <v>25</v>
      </c>
      <c r="B28">
        <v>20</v>
      </c>
      <c r="C28">
        <f t="shared" si="0"/>
        <v>41</v>
      </c>
      <c r="D28">
        <f t="shared" si="1"/>
        <v>41</v>
      </c>
      <c r="E28">
        <f t="shared" si="2"/>
        <v>41</v>
      </c>
      <c r="F28">
        <f t="shared" si="3"/>
        <v>-1</v>
      </c>
    </row>
    <row r="29" spans="1:6" x14ac:dyDescent="0.3">
      <c r="A29">
        <v>26</v>
      </c>
      <c r="B29">
        <v>83</v>
      </c>
      <c r="C29">
        <f t="shared" si="0"/>
        <v>60</v>
      </c>
      <c r="D29">
        <f t="shared" si="1"/>
        <v>60</v>
      </c>
      <c r="E29">
        <f t="shared" si="2"/>
        <v>60</v>
      </c>
      <c r="F29">
        <f t="shared" si="3"/>
        <v>-1</v>
      </c>
    </row>
    <row r="30" spans="1:6" x14ac:dyDescent="0.3">
      <c r="A30">
        <v>27</v>
      </c>
      <c r="B30">
        <v>45</v>
      </c>
      <c r="C30">
        <f t="shared" si="0"/>
        <v>49.333333333333336</v>
      </c>
      <c r="D30">
        <f t="shared" si="1"/>
        <v>49.333333333333336</v>
      </c>
      <c r="E30">
        <f t="shared" si="2"/>
        <v>49.333333333333336</v>
      </c>
      <c r="F30">
        <f t="shared" si="3"/>
        <v>-1</v>
      </c>
    </row>
    <row r="31" spans="1:6" x14ac:dyDescent="0.3">
      <c r="A31">
        <v>28</v>
      </c>
      <c r="B31">
        <v>33</v>
      </c>
      <c r="C31">
        <f t="shared" si="0"/>
        <v>53.666666666666664</v>
      </c>
      <c r="D31">
        <f t="shared" si="1"/>
        <v>53.666666666666664</v>
      </c>
      <c r="E31">
        <f t="shared" si="2"/>
        <v>53.666666666666664</v>
      </c>
      <c r="F31">
        <f t="shared" si="3"/>
        <v>-1</v>
      </c>
    </row>
    <row r="32" spans="1:6" x14ac:dyDescent="0.3">
      <c r="A32">
        <v>29</v>
      </c>
      <c r="B32">
        <v>29</v>
      </c>
      <c r="C32">
        <f t="shared" si="0"/>
        <v>35.666666666666664</v>
      </c>
      <c r="D32">
        <f t="shared" si="1"/>
        <v>35.666666666666664</v>
      </c>
      <c r="E32">
        <f t="shared" si="2"/>
        <v>35.666666666666664</v>
      </c>
      <c r="F32">
        <f t="shared" si="3"/>
        <v>-1</v>
      </c>
    </row>
    <row r="33" spans="1:6" x14ac:dyDescent="0.3">
      <c r="A33">
        <v>30</v>
      </c>
      <c r="B33">
        <v>13</v>
      </c>
      <c r="C33">
        <f t="shared" si="0"/>
        <v>25</v>
      </c>
      <c r="D33">
        <f t="shared" si="1"/>
        <v>25</v>
      </c>
      <c r="E33">
        <f t="shared" si="2"/>
        <v>25</v>
      </c>
      <c r="F33">
        <f t="shared" si="3"/>
        <v>-1</v>
      </c>
    </row>
    <row r="34" spans="1:6" x14ac:dyDescent="0.3">
      <c r="E3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4EBA-D8FC-4560-B748-1DB6145D77BF}">
  <sheetPr codeName="Sheet4"/>
  <dimension ref="A1:M34"/>
  <sheetViews>
    <sheetView topLeftCell="C1" workbookViewId="0">
      <selection activeCell="E4" sqref="E4:F4"/>
    </sheetView>
  </sheetViews>
  <sheetFormatPr defaultRowHeight="14.4" x14ac:dyDescent="0.3"/>
  <cols>
    <col min="4" max="4" width="29.6640625" customWidth="1"/>
  </cols>
  <sheetData>
    <row r="1" spans="1:13" x14ac:dyDescent="0.3">
      <c r="D1" t="s">
        <v>1</v>
      </c>
      <c r="E1" t="s">
        <v>2</v>
      </c>
      <c r="F1" s="2" t="s">
        <v>28</v>
      </c>
      <c r="G1" s="2"/>
      <c r="H1" s="2"/>
      <c r="I1" s="2"/>
      <c r="J1" s="2"/>
      <c r="L1" t="s">
        <v>5</v>
      </c>
    </row>
    <row r="2" spans="1:13" x14ac:dyDescent="0.3">
      <c r="B2" t="s">
        <v>0</v>
      </c>
      <c r="C2">
        <v>5026231131</v>
      </c>
      <c r="K2" t="s">
        <v>6</v>
      </c>
      <c r="L2" t="s">
        <v>11</v>
      </c>
    </row>
    <row r="3" spans="1:13" x14ac:dyDescent="0.3">
      <c r="A3" t="s">
        <v>4</v>
      </c>
      <c r="B3" t="s">
        <v>3</v>
      </c>
      <c r="D3" t="s">
        <v>25</v>
      </c>
      <c r="E3" t="s">
        <v>14</v>
      </c>
      <c r="F3" t="s">
        <v>15</v>
      </c>
      <c r="K3" t="s">
        <v>7</v>
      </c>
      <c r="L3" t="s">
        <v>12</v>
      </c>
      <c r="M3" t="s">
        <v>11</v>
      </c>
    </row>
    <row r="4" spans="1:13" x14ac:dyDescent="0.3">
      <c r="A4">
        <v>1</v>
      </c>
      <c r="B4">
        <v>31</v>
      </c>
      <c r="K4" t="s">
        <v>8</v>
      </c>
      <c r="L4" t="s">
        <v>11</v>
      </c>
      <c r="M4" t="s">
        <v>12</v>
      </c>
    </row>
    <row r="5" spans="1:13" x14ac:dyDescent="0.3">
      <c r="A5">
        <v>2</v>
      </c>
      <c r="B5">
        <v>93</v>
      </c>
      <c r="D5">
        <f>1*B5</f>
        <v>93</v>
      </c>
      <c r="E5">
        <v>0</v>
      </c>
      <c r="F5">
        <v>0</v>
      </c>
      <c r="K5" t="s">
        <v>9</v>
      </c>
      <c r="L5" t="s">
        <v>12</v>
      </c>
    </row>
    <row r="6" spans="1:13" x14ac:dyDescent="0.3">
      <c r="A6">
        <v>3</v>
      </c>
      <c r="B6">
        <v>81</v>
      </c>
      <c r="D6" s="2">
        <f t="shared" ref="D6:D33" si="0">1*B6</f>
        <v>81</v>
      </c>
      <c r="E6">
        <v>0</v>
      </c>
      <c r="F6">
        <v>0</v>
      </c>
      <c r="K6" t="s">
        <v>10</v>
      </c>
      <c r="L6" t="s">
        <v>11</v>
      </c>
    </row>
    <row r="7" spans="1:13" x14ac:dyDescent="0.3">
      <c r="A7">
        <v>4</v>
      </c>
      <c r="B7">
        <v>75</v>
      </c>
      <c r="D7" s="2">
        <f t="shared" si="0"/>
        <v>75</v>
      </c>
      <c r="E7">
        <v>0</v>
      </c>
      <c r="F7">
        <v>0</v>
      </c>
    </row>
    <row r="8" spans="1:13" x14ac:dyDescent="0.3">
      <c r="A8">
        <v>5</v>
      </c>
      <c r="B8">
        <v>9</v>
      </c>
      <c r="D8" s="2">
        <f t="shared" si="0"/>
        <v>9</v>
      </c>
      <c r="E8">
        <v>0</v>
      </c>
      <c r="F8">
        <v>0</v>
      </c>
    </row>
    <row r="9" spans="1:13" x14ac:dyDescent="0.3">
      <c r="A9">
        <v>6</v>
      </c>
      <c r="B9">
        <v>46</v>
      </c>
      <c r="D9" s="2">
        <f t="shared" si="0"/>
        <v>46</v>
      </c>
      <c r="E9">
        <v>0</v>
      </c>
      <c r="F9">
        <v>0</v>
      </c>
    </row>
    <row r="10" spans="1:13" x14ac:dyDescent="0.3">
      <c r="A10">
        <v>7</v>
      </c>
      <c r="B10">
        <v>87</v>
      </c>
      <c r="D10" s="2">
        <f t="shared" si="0"/>
        <v>87</v>
      </c>
      <c r="E10">
        <v>0</v>
      </c>
      <c r="F10">
        <v>0</v>
      </c>
    </row>
    <row r="11" spans="1:13" x14ac:dyDescent="0.3">
      <c r="A11">
        <v>8</v>
      </c>
      <c r="B11">
        <v>33</v>
      </c>
      <c r="D11" s="2">
        <f t="shared" si="0"/>
        <v>33</v>
      </c>
      <c r="E11">
        <v>0</v>
      </c>
      <c r="F11">
        <v>0</v>
      </c>
    </row>
    <row r="12" spans="1:13" x14ac:dyDescent="0.3">
      <c r="A12">
        <v>9</v>
      </c>
      <c r="B12">
        <v>53</v>
      </c>
      <c r="D12" s="2">
        <f t="shared" si="0"/>
        <v>53</v>
      </c>
      <c r="E12">
        <v>0</v>
      </c>
      <c r="F12">
        <v>0</v>
      </c>
    </row>
    <row r="13" spans="1:13" x14ac:dyDescent="0.3">
      <c r="A13">
        <v>10</v>
      </c>
      <c r="B13">
        <v>14</v>
      </c>
      <c r="D13" s="2">
        <f t="shared" si="0"/>
        <v>14</v>
      </c>
      <c r="E13">
        <v>0</v>
      </c>
      <c r="F13">
        <v>0</v>
      </c>
    </row>
    <row r="14" spans="1:13" x14ac:dyDescent="0.3">
      <c r="A14">
        <v>11</v>
      </c>
      <c r="B14">
        <v>36</v>
      </c>
      <c r="D14" s="2">
        <f t="shared" si="0"/>
        <v>36</v>
      </c>
      <c r="E14">
        <v>0</v>
      </c>
      <c r="F14">
        <v>0</v>
      </c>
    </row>
    <row r="15" spans="1:13" x14ac:dyDescent="0.3">
      <c r="A15">
        <v>12</v>
      </c>
      <c r="B15">
        <v>18</v>
      </c>
      <c r="D15" s="2">
        <f t="shared" si="0"/>
        <v>18</v>
      </c>
      <c r="E15">
        <v>0</v>
      </c>
      <c r="F15">
        <v>0</v>
      </c>
    </row>
    <row r="16" spans="1:13" x14ac:dyDescent="0.3">
      <c r="A16">
        <v>13</v>
      </c>
      <c r="B16">
        <v>64</v>
      </c>
      <c r="D16" s="2">
        <f t="shared" si="0"/>
        <v>64</v>
      </c>
      <c r="E16">
        <v>0</v>
      </c>
      <c r="F16">
        <v>0</v>
      </c>
    </row>
    <row r="17" spans="1:6" x14ac:dyDescent="0.3">
      <c r="A17">
        <v>14</v>
      </c>
      <c r="B17">
        <v>5</v>
      </c>
      <c r="D17" s="2">
        <f t="shared" si="0"/>
        <v>5</v>
      </c>
      <c r="E17">
        <v>0</v>
      </c>
      <c r="F17">
        <v>0</v>
      </c>
    </row>
    <row r="18" spans="1:6" x14ac:dyDescent="0.3">
      <c r="A18">
        <v>15</v>
      </c>
      <c r="B18">
        <v>49</v>
      </c>
      <c r="D18" s="2">
        <f t="shared" si="0"/>
        <v>49</v>
      </c>
      <c r="E18">
        <v>0</v>
      </c>
      <c r="F18">
        <v>0</v>
      </c>
    </row>
    <row r="19" spans="1:6" x14ac:dyDescent="0.3">
      <c r="A19">
        <v>16</v>
      </c>
      <c r="B19">
        <v>76</v>
      </c>
      <c r="D19" s="2">
        <f t="shared" si="0"/>
        <v>76</v>
      </c>
      <c r="E19">
        <v>0</v>
      </c>
      <c r="F19">
        <v>0</v>
      </c>
    </row>
    <row r="20" spans="1:6" x14ac:dyDescent="0.3">
      <c r="A20">
        <v>17</v>
      </c>
      <c r="B20">
        <v>56</v>
      </c>
      <c r="D20" s="2">
        <f t="shared" si="0"/>
        <v>56</v>
      </c>
      <c r="E20">
        <v>0</v>
      </c>
      <c r="F20">
        <v>0</v>
      </c>
    </row>
    <row r="21" spans="1:6" x14ac:dyDescent="0.3">
      <c r="A21">
        <v>18</v>
      </c>
      <c r="B21">
        <v>19</v>
      </c>
      <c r="D21" s="2">
        <f t="shared" si="0"/>
        <v>19</v>
      </c>
      <c r="E21">
        <v>0</v>
      </c>
      <c r="F21">
        <v>0</v>
      </c>
    </row>
    <row r="22" spans="1:6" x14ac:dyDescent="0.3">
      <c r="A22">
        <v>19</v>
      </c>
      <c r="B22">
        <v>13</v>
      </c>
      <c r="D22" s="2">
        <f t="shared" si="0"/>
        <v>13</v>
      </c>
      <c r="E22">
        <v>0</v>
      </c>
      <c r="F22">
        <v>0</v>
      </c>
    </row>
    <row r="23" spans="1:6" x14ac:dyDescent="0.3">
      <c r="A23">
        <v>20</v>
      </c>
      <c r="B23">
        <v>6</v>
      </c>
      <c r="D23" s="2">
        <f t="shared" si="0"/>
        <v>6</v>
      </c>
      <c r="E23">
        <v>0</v>
      </c>
      <c r="F23">
        <v>0</v>
      </c>
    </row>
    <row r="24" spans="1:6" x14ac:dyDescent="0.3">
      <c r="A24">
        <v>21</v>
      </c>
      <c r="B24">
        <v>64</v>
      </c>
      <c r="D24" s="2">
        <f t="shared" si="0"/>
        <v>64</v>
      </c>
      <c r="E24">
        <v>0</v>
      </c>
      <c r="F24">
        <v>0</v>
      </c>
    </row>
    <row r="25" spans="1:6" x14ac:dyDescent="0.3">
      <c r="A25">
        <v>22</v>
      </c>
      <c r="B25">
        <v>46</v>
      </c>
      <c r="D25" s="2">
        <f t="shared" si="0"/>
        <v>46</v>
      </c>
      <c r="E25">
        <v>0</v>
      </c>
      <c r="F25">
        <v>0</v>
      </c>
    </row>
    <row r="26" spans="1:6" x14ac:dyDescent="0.3">
      <c r="A26">
        <v>23</v>
      </c>
      <c r="B26">
        <v>26</v>
      </c>
      <c r="D26" s="2">
        <f t="shared" si="0"/>
        <v>26</v>
      </c>
      <c r="E26">
        <v>0</v>
      </c>
      <c r="F26">
        <v>0</v>
      </c>
    </row>
    <row r="27" spans="1:6" x14ac:dyDescent="0.3">
      <c r="A27">
        <v>24</v>
      </c>
      <c r="B27">
        <v>77</v>
      </c>
      <c r="D27" s="2">
        <f t="shared" si="0"/>
        <v>77</v>
      </c>
      <c r="E27">
        <v>0</v>
      </c>
      <c r="F27">
        <v>0</v>
      </c>
    </row>
    <row r="28" spans="1:6" x14ac:dyDescent="0.3">
      <c r="A28">
        <v>25</v>
      </c>
      <c r="B28">
        <v>20</v>
      </c>
      <c r="D28" s="2">
        <f t="shared" si="0"/>
        <v>20</v>
      </c>
      <c r="E28">
        <v>0</v>
      </c>
      <c r="F28">
        <v>0</v>
      </c>
    </row>
    <row r="29" spans="1:6" x14ac:dyDescent="0.3">
      <c r="A29">
        <v>26</v>
      </c>
      <c r="B29">
        <v>83</v>
      </c>
      <c r="D29" s="2">
        <f t="shared" si="0"/>
        <v>83</v>
      </c>
      <c r="E29">
        <v>0</v>
      </c>
      <c r="F29">
        <v>0</v>
      </c>
    </row>
    <row r="30" spans="1:6" x14ac:dyDescent="0.3">
      <c r="A30">
        <v>27</v>
      </c>
      <c r="B30">
        <v>45</v>
      </c>
      <c r="D30" s="2">
        <f t="shared" si="0"/>
        <v>45</v>
      </c>
      <c r="E30">
        <v>0</v>
      </c>
      <c r="F30">
        <v>0</v>
      </c>
    </row>
    <row r="31" spans="1:6" x14ac:dyDescent="0.3">
      <c r="A31">
        <v>28</v>
      </c>
      <c r="B31">
        <v>33</v>
      </c>
      <c r="D31" s="2">
        <f t="shared" si="0"/>
        <v>33</v>
      </c>
      <c r="E31">
        <v>0</v>
      </c>
      <c r="F31">
        <v>0</v>
      </c>
    </row>
    <row r="32" spans="1:6" x14ac:dyDescent="0.3">
      <c r="A32">
        <v>29</v>
      </c>
      <c r="B32">
        <v>29</v>
      </c>
      <c r="D32" s="2">
        <f t="shared" si="0"/>
        <v>29</v>
      </c>
      <c r="E32">
        <v>0</v>
      </c>
      <c r="F32">
        <v>0</v>
      </c>
    </row>
    <row r="33" spans="1:6" x14ac:dyDescent="0.3">
      <c r="A33">
        <v>30</v>
      </c>
      <c r="B33">
        <v>13</v>
      </c>
      <c r="D33" s="2">
        <f t="shared" si="0"/>
        <v>13</v>
      </c>
      <c r="E33">
        <v>0</v>
      </c>
      <c r="F33">
        <v>0</v>
      </c>
    </row>
    <row r="34" spans="1:6" x14ac:dyDescent="0.3">
      <c r="E3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C763-C6CF-462E-A845-7432DB278139}">
  <sheetPr codeName="Sheet5"/>
  <dimension ref="A1:O37"/>
  <sheetViews>
    <sheetView tabSelected="1" workbookViewId="0">
      <selection activeCell="F36" sqref="F36"/>
    </sheetView>
  </sheetViews>
  <sheetFormatPr defaultRowHeight="14.4" x14ac:dyDescent="0.3"/>
  <sheetData>
    <row r="1" spans="1:15" x14ac:dyDescent="0.3">
      <c r="D1" t="s">
        <v>1</v>
      </c>
      <c r="E1" t="s">
        <v>2</v>
      </c>
    </row>
    <row r="2" spans="1:15" x14ac:dyDescent="0.3">
      <c r="B2" t="s">
        <v>0</v>
      </c>
      <c r="C2">
        <v>5026231131</v>
      </c>
    </row>
    <row r="3" spans="1:15" x14ac:dyDescent="0.3">
      <c r="A3" t="s">
        <v>4</v>
      </c>
      <c r="B3" t="s">
        <v>3</v>
      </c>
      <c r="C3" t="s">
        <v>26</v>
      </c>
      <c r="D3" t="s">
        <v>27</v>
      </c>
      <c r="E3" t="s">
        <v>14</v>
      </c>
      <c r="F3" t="s">
        <v>15</v>
      </c>
    </row>
    <row r="4" spans="1:15" x14ac:dyDescent="0.3">
      <c r="A4">
        <v>1</v>
      </c>
      <c r="B4">
        <v>31</v>
      </c>
      <c r="N4" t="s">
        <v>5</v>
      </c>
    </row>
    <row r="5" spans="1:15" x14ac:dyDescent="0.3">
      <c r="A5">
        <v>2</v>
      </c>
      <c r="B5">
        <v>93</v>
      </c>
      <c r="M5" t="s">
        <v>6</v>
      </c>
      <c r="N5" t="s">
        <v>11</v>
      </c>
    </row>
    <row r="6" spans="1:15" x14ac:dyDescent="0.3">
      <c r="A6">
        <v>3</v>
      </c>
      <c r="B6">
        <v>81</v>
      </c>
      <c r="C6">
        <f>SUM(B4:B6)/3</f>
        <v>68.333333333333329</v>
      </c>
      <c r="M6" t="s">
        <v>7</v>
      </c>
      <c r="N6" t="s">
        <v>12</v>
      </c>
      <c r="O6" t="s">
        <v>11</v>
      </c>
    </row>
    <row r="7" spans="1:15" x14ac:dyDescent="0.3">
      <c r="A7">
        <v>4</v>
      </c>
      <c r="B7">
        <v>75</v>
      </c>
      <c r="C7">
        <f t="shared" ref="C7:C33" si="0">SUM(B5:B7)/3</f>
        <v>83</v>
      </c>
      <c r="D7">
        <f>C6+2*(B6-C6)/3+1</f>
        <v>77.777777777777771</v>
      </c>
      <c r="E7">
        <f>B7-D7</f>
        <v>-2.7777777777777715</v>
      </c>
      <c r="F7">
        <f>E7^2</f>
        <v>7.7160493827160144</v>
      </c>
      <c r="M7" t="s">
        <v>8</v>
      </c>
      <c r="N7" t="s">
        <v>11</v>
      </c>
      <c r="O7" t="s">
        <v>12</v>
      </c>
    </row>
    <row r="8" spans="1:15" x14ac:dyDescent="0.3">
      <c r="A8">
        <v>5</v>
      </c>
      <c r="B8">
        <v>9</v>
      </c>
      <c r="C8">
        <f t="shared" si="0"/>
        <v>55</v>
      </c>
      <c r="D8">
        <f t="shared" ref="D8:D33" si="1">C7+2*(B7-C7)/3+1</f>
        <v>78.666666666666671</v>
      </c>
      <c r="E8" s="2">
        <f t="shared" ref="E8:E33" si="2">B8-D8</f>
        <v>-69.666666666666671</v>
      </c>
      <c r="F8" s="2">
        <f t="shared" ref="F8:F33" si="3">E8^2</f>
        <v>4853.4444444444453</v>
      </c>
      <c r="M8" t="s">
        <v>9</v>
      </c>
      <c r="N8" t="s">
        <v>12</v>
      </c>
    </row>
    <row r="9" spans="1:15" x14ac:dyDescent="0.3">
      <c r="A9">
        <v>6</v>
      </c>
      <c r="B9">
        <v>46</v>
      </c>
      <c r="C9">
        <f t="shared" si="0"/>
        <v>43.333333333333336</v>
      </c>
      <c r="D9">
        <f t="shared" si="1"/>
        <v>25.333333333333332</v>
      </c>
      <c r="E9" s="2">
        <f t="shared" si="2"/>
        <v>20.666666666666668</v>
      </c>
      <c r="F9" s="2">
        <f t="shared" si="3"/>
        <v>427.11111111111114</v>
      </c>
      <c r="M9" t="s">
        <v>10</v>
      </c>
      <c r="N9" t="s">
        <v>11</v>
      </c>
    </row>
    <row r="10" spans="1:15" x14ac:dyDescent="0.3">
      <c r="A10">
        <v>7</v>
      </c>
      <c r="B10">
        <v>87</v>
      </c>
      <c r="C10">
        <f t="shared" si="0"/>
        <v>47.333333333333336</v>
      </c>
      <c r="D10">
        <f t="shared" si="1"/>
        <v>46.111111111111114</v>
      </c>
      <c r="E10" s="2">
        <f t="shared" si="2"/>
        <v>40.888888888888886</v>
      </c>
      <c r="F10" s="2">
        <f t="shared" si="3"/>
        <v>1671.9012345679009</v>
      </c>
    </row>
    <row r="11" spans="1:15" x14ac:dyDescent="0.3">
      <c r="A11">
        <v>8</v>
      </c>
      <c r="B11">
        <v>33</v>
      </c>
      <c r="C11">
        <f t="shared" si="0"/>
        <v>55.333333333333336</v>
      </c>
      <c r="D11">
        <f t="shared" si="1"/>
        <v>74.777777777777771</v>
      </c>
      <c r="E11" s="2">
        <f t="shared" si="2"/>
        <v>-41.777777777777771</v>
      </c>
      <c r="F11" s="2">
        <f t="shared" si="3"/>
        <v>1745.3827160493822</v>
      </c>
    </row>
    <row r="12" spans="1:15" x14ac:dyDescent="0.3">
      <c r="A12">
        <v>9</v>
      </c>
      <c r="B12">
        <v>53</v>
      </c>
      <c r="C12">
        <f t="shared" si="0"/>
        <v>57.666666666666664</v>
      </c>
      <c r="D12">
        <f t="shared" si="1"/>
        <v>41.444444444444443</v>
      </c>
      <c r="E12" s="2">
        <f t="shared" si="2"/>
        <v>11.555555555555557</v>
      </c>
      <c r="F12" s="2">
        <f t="shared" si="3"/>
        <v>133.53086419753089</v>
      </c>
    </row>
    <row r="13" spans="1:15" x14ac:dyDescent="0.3">
      <c r="A13">
        <v>10</v>
      </c>
      <c r="B13">
        <v>14</v>
      </c>
      <c r="C13">
        <f t="shared" si="0"/>
        <v>33.333333333333336</v>
      </c>
      <c r="D13">
        <f t="shared" si="1"/>
        <v>55.555555555555557</v>
      </c>
      <c r="E13" s="2">
        <f t="shared" si="2"/>
        <v>-41.555555555555557</v>
      </c>
      <c r="F13" s="2">
        <f t="shared" si="3"/>
        <v>1726.8641975308644</v>
      </c>
    </row>
    <row r="14" spans="1:15" x14ac:dyDescent="0.3">
      <c r="A14">
        <v>11</v>
      </c>
      <c r="B14">
        <v>36</v>
      </c>
      <c r="C14">
        <f t="shared" si="0"/>
        <v>34.333333333333336</v>
      </c>
      <c r="D14">
        <f t="shared" si="1"/>
        <v>21.444444444444443</v>
      </c>
      <c r="E14" s="2">
        <f t="shared" si="2"/>
        <v>14.555555555555557</v>
      </c>
      <c r="F14" s="2">
        <f t="shared" si="3"/>
        <v>211.86419753086423</v>
      </c>
    </row>
    <row r="15" spans="1:15" x14ac:dyDescent="0.3">
      <c r="A15">
        <v>12</v>
      </c>
      <c r="B15">
        <v>18</v>
      </c>
      <c r="C15">
        <f t="shared" si="0"/>
        <v>22.666666666666668</v>
      </c>
      <c r="D15">
        <f t="shared" si="1"/>
        <v>36.444444444444443</v>
      </c>
      <c r="E15" s="2">
        <f t="shared" si="2"/>
        <v>-18.444444444444443</v>
      </c>
      <c r="F15" s="2">
        <f t="shared" si="3"/>
        <v>340.19753086419746</v>
      </c>
    </row>
    <row r="16" spans="1:15" x14ac:dyDescent="0.3">
      <c r="A16">
        <v>13</v>
      </c>
      <c r="B16">
        <v>64</v>
      </c>
      <c r="C16">
        <f t="shared" si="0"/>
        <v>39.333333333333336</v>
      </c>
      <c r="D16">
        <f t="shared" si="1"/>
        <v>20.555555555555557</v>
      </c>
      <c r="E16" s="2">
        <f t="shared" si="2"/>
        <v>43.444444444444443</v>
      </c>
      <c r="F16" s="2">
        <f t="shared" si="3"/>
        <v>1887.4197530864196</v>
      </c>
    </row>
    <row r="17" spans="1:6" x14ac:dyDescent="0.3">
      <c r="A17">
        <v>14</v>
      </c>
      <c r="B17">
        <v>5</v>
      </c>
      <c r="C17">
        <f t="shared" si="0"/>
        <v>29</v>
      </c>
      <c r="D17">
        <f t="shared" si="1"/>
        <v>56.777777777777779</v>
      </c>
      <c r="E17" s="2">
        <f t="shared" si="2"/>
        <v>-51.777777777777779</v>
      </c>
      <c r="F17" s="2">
        <f t="shared" si="3"/>
        <v>2680.9382716049386</v>
      </c>
    </row>
    <row r="18" spans="1:6" x14ac:dyDescent="0.3">
      <c r="A18">
        <v>15</v>
      </c>
      <c r="B18">
        <v>49</v>
      </c>
      <c r="C18">
        <f t="shared" si="0"/>
        <v>39.333333333333336</v>
      </c>
      <c r="D18">
        <f t="shared" si="1"/>
        <v>14</v>
      </c>
      <c r="E18" s="2">
        <f t="shared" si="2"/>
        <v>35</v>
      </c>
      <c r="F18" s="2">
        <f t="shared" si="3"/>
        <v>1225</v>
      </c>
    </row>
    <row r="19" spans="1:6" x14ac:dyDescent="0.3">
      <c r="A19">
        <v>16</v>
      </c>
      <c r="B19">
        <v>76</v>
      </c>
      <c r="C19">
        <f t="shared" si="0"/>
        <v>43.333333333333336</v>
      </c>
      <c r="D19">
        <f t="shared" si="1"/>
        <v>46.777777777777779</v>
      </c>
      <c r="E19" s="2">
        <f t="shared" si="2"/>
        <v>29.222222222222221</v>
      </c>
      <c r="F19" s="2">
        <f t="shared" si="3"/>
        <v>853.93827160493822</v>
      </c>
    </row>
    <row r="20" spans="1:6" x14ac:dyDescent="0.3">
      <c r="A20">
        <v>17</v>
      </c>
      <c r="B20">
        <v>56</v>
      </c>
      <c r="C20">
        <f t="shared" si="0"/>
        <v>60.333333333333336</v>
      </c>
      <c r="D20">
        <f t="shared" si="1"/>
        <v>66.111111111111114</v>
      </c>
      <c r="E20" s="2">
        <f t="shared" si="2"/>
        <v>-10.111111111111114</v>
      </c>
      <c r="F20" s="2">
        <f t="shared" si="3"/>
        <v>102.23456790123463</v>
      </c>
    </row>
    <row r="21" spans="1:6" x14ac:dyDescent="0.3">
      <c r="A21">
        <v>18</v>
      </c>
      <c r="B21">
        <v>19</v>
      </c>
      <c r="C21">
        <f t="shared" si="0"/>
        <v>50.333333333333336</v>
      </c>
      <c r="D21">
        <f t="shared" si="1"/>
        <v>58.444444444444443</v>
      </c>
      <c r="E21" s="2">
        <f t="shared" si="2"/>
        <v>-39.444444444444443</v>
      </c>
      <c r="F21" s="2">
        <f t="shared" si="3"/>
        <v>1555.864197530864</v>
      </c>
    </row>
    <row r="22" spans="1:6" x14ac:dyDescent="0.3">
      <c r="A22">
        <v>19</v>
      </c>
      <c r="B22">
        <v>13</v>
      </c>
      <c r="C22">
        <f t="shared" si="0"/>
        <v>29.333333333333332</v>
      </c>
      <c r="D22">
        <f t="shared" si="1"/>
        <v>30.444444444444446</v>
      </c>
      <c r="E22" s="2">
        <f t="shared" si="2"/>
        <v>-17.444444444444446</v>
      </c>
      <c r="F22" s="2">
        <f t="shared" si="3"/>
        <v>304.30864197530872</v>
      </c>
    </row>
    <row r="23" spans="1:6" x14ac:dyDescent="0.3">
      <c r="A23">
        <v>20</v>
      </c>
      <c r="B23">
        <v>6</v>
      </c>
      <c r="C23">
        <f t="shared" si="0"/>
        <v>12.666666666666666</v>
      </c>
      <c r="D23">
        <f t="shared" si="1"/>
        <v>19.444444444444443</v>
      </c>
      <c r="E23" s="2">
        <f t="shared" si="2"/>
        <v>-13.444444444444443</v>
      </c>
      <c r="F23" s="2">
        <f t="shared" si="3"/>
        <v>180.75308641975303</v>
      </c>
    </row>
    <row r="24" spans="1:6" x14ac:dyDescent="0.3">
      <c r="A24">
        <v>21</v>
      </c>
      <c r="B24">
        <v>64</v>
      </c>
      <c r="C24">
        <f t="shared" si="0"/>
        <v>27.666666666666668</v>
      </c>
      <c r="D24">
        <f t="shared" si="1"/>
        <v>9.2222222222222214</v>
      </c>
      <c r="E24" s="2">
        <f t="shared" si="2"/>
        <v>54.777777777777779</v>
      </c>
      <c r="F24" s="2">
        <f t="shared" si="3"/>
        <v>3000.6049382716051</v>
      </c>
    </row>
    <row r="25" spans="1:6" x14ac:dyDescent="0.3">
      <c r="A25">
        <v>22</v>
      </c>
      <c r="B25">
        <v>46</v>
      </c>
      <c r="C25">
        <f t="shared" si="0"/>
        <v>38.666666666666664</v>
      </c>
      <c r="D25">
        <f t="shared" si="1"/>
        <v>52.888888888888886</v>
      </c>
      <c r="E25" s="2">
        <f t="shared" si="2"/>
        <v>-6.8888888888888857</v>
      </c>
      <c r="F25" s="2">
        <f t="shared" si="3"/>
        <v>47.456790123456749</v>
      </c>
    </row>
    <row r="26" spans="1:6" x14ac:dyDescent="0.3">
      <c r="A26">
        <v>23</v>
      </c>
      <c r="B26">
        <v>26</v>
      </c>
      <c r="C26">
        <f t="shared" si="0"/>
        <v>45.333333333333336</v>
      </c>
      <c r="D26">
        <f t="shared" si="1"/>
        <v>44.555555555555557</v>
      </c>
      <c r="E26" s="2">
        <f t="shared" si="2"/>
        <v>-18.555555555555557</v>
      </c>
      <c r="F26" s="2">
        <f t="shared" si="3"/>
        <v>344.30864197530872</v>
      </c>
    </row>
    <row r="27" spans="1:6" x14ac:dyDescent="0.3">
      <c r="A27">
        <v>24</v>
      </c>
      <c r="B27">
        <v>77</v>
      </c>
      <c r="C27">
        <f t="shared" si="0"/>
        <v>49.666666666666664</v>
      </c>
      <c r="D27">
        <f t="shared" si="1"/>
        <v>33.444444444444443</v>
      </c>
      <c r="E27" s="2">
        <f t="shared" si="2"/>
        <v>43.555555555555557</v>
      </c>
      <c r="F27" s="2">
        <f t="shared" si="3"/>
        <v>1897.0864197530866</v>
      </c>
    </row>
    <row r="28" spans="1:6" x14ac:dyDescent="0.3">
      <c r="A28">
        <v>25</v>
      </c>
      <c r="B28">
        <v>20</v>
      </c>
      <c r="C28">
        <f t="shared" si="0"/>
        <v>41</v>
      </c>
      <c r="D28">
        <f t="shared" si="1"/>
        <v>68.888888888888886</v>
      </c>
      <c r="E28" s="2">
        <f t="shared" si="2"/>
        <v>-48.888888888888886</v>
      </c>
      <c r="F28" s="2">
        <f t="shared" si="3"/>
        <v>2390.1234567901233</v>
      </c>
    </row>
    <row r="29" spans="1:6" x14ac:dyDescent="0.3">
      <c r="A29">
        <v>26</v>
      </c>
      <c r="B29">
        <v>83</v>
      </c>
      <c r="C29">
        <f t="shared" si="0"/>
        <v>60</v>
      </c>
      <c r="D29">
        <f t="shared" si="1"/>
        <v>28</v>
      </c>
      <c r="E29" s="2">
        <f t="shared" si="2"/>
        <v>55</v>
      </c>
      <c r="F29" s="2">
        <f t="shared" si="3"/>
        <v>3025</v>
      </c>
    </row>
    <row r="30" spans="1:6" x14ac:dyDescent="0.3">
      <c r="A30">
        <v>27</v>
      </c>
      <c r="B30">
        <v>45</v>
      </c>
      <c r="C30">
        <f t="shared" si="0"/>
        <v>49.333333333333336</v>
      </c>
      <c r="D30">
        <f t="shared" si="1"/>
        <v>76.333333333333329</v>
      </c>
      <c r="E30" s="2">
        <f t="shared" si="2"/>
        <v>-31.333333333333329</v>
      </c>
      <c r="F30" s="2">
        <f t="shared" si="3"/>
        <v>981.77777777777749</v>
      </c>
    </row>
    <row r="31" spans="1:6" x14ac:dyDescent="0.3">
      <c r="A31">
        <v>28</v>
      </c>
      <c r="B31">
        <v>33</v>
      </c>
      <c r="C31">
        <f t="shared" si="0"/>
        <v>53.666666666666664</v>
      </c>
      <c r="D31">
        <f t="shared" si="1"/>
        <v>47.444444444444443</v>
      </c>
      <c r="E31" s="2">
        <f t="shared" si="2"/>
        <v>-14.444444444444443</v>
      </c>
      <c r="F31" s="2">
        <f t="shared" si="3"/>
        <v>208.64197530864192</v>
      </c>
    </row>
    <row r="32" spans="1:6" x14ac:dyDescent="0.3">
      <c r="A32">
        <v>29</v>
      </c>
      <c r="B32">
        <v>29</v>
      </c>
      <c r="C32">
        <f t="shared" si="0"/>
        <v>35.666666666666664</v>
      </c>
      <c r="D32">
        <f t="shared" si="1"/>
        <v>40.888888888888886</v>
      </c>
      <c r="E32" s="2">
        <f t="shared" si="2"/>
        <v>-11.888888888888886</v>
      </c>
      <c r="F32" s="2">
        <f t="shared" si="3"/>
        <v>141.34567901234561</v>
      </c>
    </row>
    <row r="33" spans="1:7" x14ac:dyDescent="0.3">
      <c r="A33">
        <v>30</v>
      </c>
      <c r="B33">
        <v>13</v>
      </c>
      <c r="C33">
        <f t="shared" si="0"/>
        <v>25</v>
      </c>
      <c r="D33">
        <f t="shared" si="1"/>
        <v>32.222222222222221</v>
      </c>
      <c r="E33" s="2">
        <f t="shared" si="2"/>
        <v>-19.222222222222221</v>
      </c>
      <c r="F33" s="2">
        <f t="shared" si="3"/>
        <v>369.49382716049382</v>
      </c>
    </row>
    <row r="35" spans="1:7" x14ac:dyDescent="0.3">
      <c r="E35" t="s">
        <v>16</v>
      </c>
      <c r="F35">
        <f>SUM(F7:F33)</f>
        <v>32314.308641975309</v>
      </c>
    </row>
    <row r="37" spans="1:7" x14ac:dyDescent="0.3">
      <c r="G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SMA</vt:lpstr>
      <vt:lpstr>CMA</vt:lpstr>
      <vt:lpstr>CMA2</vt:lpstr>
      <vt:lpstr>DMA</vt:lpstr>
      <vt:lpstr>WMA</vt:lpstr>
      <vt:lpstr>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Riksakomara</dc:creator>
  <cp:lastModifiedBy>Davin Jonathan Tanus</cp:lastModifiedBy>
  <dcterms:created xsi:type="dcterms:W3CDTF">2015-06-05T18:17:20Z</dcterms:created>
  <dcterms:modified xsi:type="dcterms:W3CDTF">2025-03-17T06:41:33Z</dcterms:modified>
</cp:coreProperties>
</file>